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ristonthermo-my.sharepoint.com/personal/juanmiguel_hernandez_ariston_com/Documents/Documents/98. CATÁLOGO &amp; TARIFAS/PORTUGAL/"/>
    </mc:Choice>
  </mc:AlternateContent>
  <xr:revisionPtr revIDLastSave="0" documentId="8_{DD2BDF27-DEFF-4AF1-8AA5-FA5B8F9CEC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rifa ARISTON Maio 2026" sheetId="1" r:id="rId1"/>
  </sheets>
  <definedNames>
    <definedName name="_xlnm._FilterDatabase" localSheetId="0" hidden="1">'Tarifa ARISTON Maio 2026'!$A$4:$L$509</definedName>
  </definedNames>
  <calcPr calcId="191028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1" i="1" l="1"/>
  <c r="G110" i="1"/>
  <c r="G368" i="1"/>
  <c r="G109" i="1"/>
  <c r="G108" i="1"/>
  <c r="G107" i="1"/>
  <c r="G106" i="1"/>
  <c r="G105" i="1"/>
  <c r="G61" i="1"/>
  <c r="G60" i="1"/>
  <c r="G232" i="1"/>
  <c r="G231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230" i="1"/>
  <c r="J76" i="1" l="1"/>
  <c r="J75" i="1"/>
  <c r="J77" i="1"/>
  <c r="J82" i="1"/>
  <c r="J81" i="1"/>
  <c r="J55" i="1"/>
  <c r="J80" i="1"/>
  <c r="J54" i="1"/>
  <c r="J79" i="1"/>
  <c r="J53" i="1"/>
  <c r="J78" i="1"/>
  <c r="J52" i="1"/>
</calcChain>
</file>

<file path=xl/sharedStrings.xml><?xml version="1.0" encoding="utf-8"?>
<sst xmlns="http://schemas.openxmlformats.org/spreadsheetml/2006/main" count="1176" uniqueCount="677">
  <si>
    <t>Familia de produto</t>
  </si>
  <si>
    <t>Código EAN</t>
  </si>
  <si>
    <t>Código</t>
  </si>
  <si>
    <t>Descrição</t>
  </si>
  <si>
    <t>PVP Março 2025</t>
  </si>
  <si>
    <t>Comentarios</t>
  </si>
  <si>
    <t>TERMO HÍBRIDO</t>
  </si>
  <si>
    <t>LYDOS HYBRID WI-FI 80 PT+</t>
  </si>
  <si>
    <t>LYDOS HYBRID WI-FI 100 PT+</t>
  </si>
  <si>
    <t>TERMO MEDIA capacidade</t>
  </si>
  <si>
    <t>FLECK NILO 25 EU2</t>
  </si>
  <si>
    <t>Só será servido mediante solicitação</t>
  </si>
  <si>
    <t>FLECK NILO 2.0 50 EU</t>
  </si>
  <si>
    <t>FLECK NILO 2.0 75 EU</t>
  </si>
  <si>
    <t>FLECK NILO 2.0 100 EU</t>
  </si>
  <si>
    <t>TERMO PEQUENA capacidade</t>
  </si>
  <si>
    <t>ANDRIS R 10 ES EU</t>
  </si>
  <si>
    <t>ANDRIS R 15 ES EU</t>
  </si>
  <si>
    <t>ANDRIS R 15 UR ES EU</t>
  </si>
  <si>
    <t>ANDRIS R 30 ES EU</t>
  </si>
  <si>
    <t>VELIS TECH DRY WIFI 50 ES EU PT+</t>
  </si>
  <si>
    <t>VELIS TECH DRY WIFI 80 ES EU PT+</t>
  </si>
  <si>
    <t>VELIS TECH DRY WIFI 100 ES EU PT+</t>
  </si>
  <si>
    <t>5411692012601</t>
  </si>
  <si>
    <t>VELIS PRO WIFI 30 ES EU</t>
  </si>
  <si>
    <t>VELIS PRO WIFI 50 ES EU PT+</t>
  </si>
  <si>
    <t>VELIS PRO WIFI 80 ES EU PT+</t>
  </si>
  <si>
    <t>VELIS PRO WIFI 100 ES EU PT+</t>
  </si>
  <si>
    <t>VELIS PRO 50 ES EU PT 3T</t>
  </si>
  <si>
    <t>VELIS PRO 80 ES EU PT 3T</t>
  </si>
  <si>
    <t>VELIS PRO 100 ES EU PT 3T</t>
  </si>
  <si>
    <t>LYDOS ECO 50 V ES EU PT 3T</t>
  </si>
  <si>
    <t>LYDOS ECO 80 V ES EU PT 3T</t>
  </si>
  <si>
    <t>LYDOS ECO 100 V ES EU PT 3T</t>
  </si>
  <si>
    <t>PRO1 ECO MULTIS 50 DRY SLIM EU</t>
  </si>
  <si>
    <t>PRO1 ECO MULTIS 80 DRY EU</t>
  </si>
  <si>
    <t>PRO1 ECO MULTIS 100 DRY EU</t>
  </si>
  <si>
    <t>PRO1 ECO 80 H ES EU</t>
  </si>
  <si>
    <t>PRO1 ECO 100 H ES EU</t>
  </si>
  <si>
    <t>PRO1 R 50 V ES EU</t>
  </si>
  <si>
    <t>PRO1 R 80 V ES EU</t>
  </si>
  <si>
    <t>PRO1 R 100 V ES EU</t>
  </si>
  <si>
    <t>PRO1 R 80 H ES EU</t>
  </si>
  <si>
    <t>PRO1 R 100 H ES EU</t>
  </si>
  <si>
    <t>PRO1 R 80 VTD 1,8K PL EU</t>
  </si>
  <si>
    <t>PRO1 R 100 VTD 1,8K PL EU</t>
  </si>
  <si>
    <t>TERMO GRANDE capacidade</t>
  </si>
  <si>
    <t>PRO R 150 VTS EVO EU</t>
  </si>
  <si>
    <t>PRO R 200 VTS EVO EU</t>
  </si>
  <si>
    <t>PRO ZEN 150 V EU</t>
  </si>
  <si>
    <t>PRO ZEN 200 V EU</t>
  </si>
  <si>
    <t>PRO ZEN 300 ST EU</t>
  </si>
  <si>
    <t>PRO B 150 V EU</t>
  </si>
  <si>
    <t>PRO B 200 V EU</t>
  </si>
  <si>
    <t>PRO B 150 H EU</t>
  </si>
  <si>
    <t>PRO B 200 H EU</t>
  </si>
  <si>
    <t>PRO B 500 STI EU</t>
  </si>
  <si>
    <t>ACESSÓRIOS AQS</t>
  </si>
  <si>
    <t>KIT 5 SUPORTES UNIVERSAIS INSTAFIX</t>
  </si>
  <si>
    <t>KIT POLIFOSFATOS</t>
  </si>
  <si>
    <t>-</t>
  </si>
  <si>
    <t>Depósito de recogida de condensados Lydos Hybrid</t>
  </si>
  <si>
    <t>Tripode para instalación vertical sobre suelo Ø 550-600 mm</t>
  </si>
  <si>
    <t>ESQUENTADOR  ESTANQUE BAIXO NOx</t>
  </si>
  <si>
    <t>NEXT EVO X SFT 11 NG PIB EU</t>
  </si>
  <si>
    <t>NEXT EVO X SFT 11 LPG PIB EU</t>
  </si>
  <si>
    <t>NEXT EVO X SFT 16 NG PIB EU</t>
  </si>
  <si>
    <t>NEXT EVO X SFT 16 LPG PIB EU</t>
  </si>
  <si>
    <t>ESQUENTADOR VENTILADO BAIXO NOx</t>
  </si>
  <si>
    <t>NEXT EVO X OFT 12 NG PIB EU</t>
  </si>
  <si>
    <t>NEXT EVO X OFT 12 LPG PIB EU</t>
  </si>
  <si>
    <t>NEXT EVO X OFT 17 NG PIB EU</t>
  </si>
  <si>
    <t>NEXT EVO X OFT 17 LPG PIB EU</t>
  </si>
  <si>
    <t>ESQUENTADOR TIRAGEM NATURAL</t>
  </si>
  <si>
    <t>ACESSÓRIOS ESQUENTADOR FORÇADO</t>
  </si>
  <si>
    <t>VÁLVULA MISTURADORA TERMOSTÁTICA COM BY PASS PARA INTEGRAÇÃO COM INSTALAÇÕES SOLARES</t>
  </si>
  <si>
    <t>kit saida completa horizontal Ø60/100mm com toma para analise de combustão</t>
  </si>
  <si>
    <t xml:space="preserve">Extensão ø60/100 mm coaxial M/H L1000 </t>
  </si>
  <si>
    <t>adaptador 60/100 a tubos separados Ø80/80mm com toma para analise de combustão</t>
  </si>
  <si>
    <t>Exensão Ø 80 M-F L= 1000</t>
  </si>
  <si>
    <t>ACESSÓRIOS ESQUENTADOR VENTILADO</t>
  </si>
  <si>
    <t>Extensão Ø 80 L = 1000 M/H</t>
  </si>
  <si>
    <t>ACUMULADOR A GÁS Baixo NOx</t>
  </si>
  <si>
    <t>SGA X 160</t>
  </si>
  <si>
    <t xml:space="preserve">SGA X 200 </t>
  </si>
  <si>
    <t>SGA X 300</t>
  </si>
  <si>
    <t>ACESSÓRIOS ACUMULADOR A GÁS</t>
  </si>
  <si>
    <t>KIT saida coaxial 60/100 sem curva</t>
  </si>
  <si>
    <t>Saida vertical 60/100 con recogida de condensados</t>
  </si>
  <si>
    <t>Extensão coaxial 60/100 M/F L500</t>
  </si>
  <si>
    <t>CALDEIRAS</t>
  </si>
  <si>
    <t>3234090869552</t>
  </si>
  <si>
    <t>GENUS ONE+ WIFI 24</t>
  </si>
  <si>
    <t>Caldeira completa</t>
  </si>
  <si>
    <t>3234090869477</t>
  </si>
  <si>
    <t>GENUS ONE+ WIFI 35</t>
  </si>
  <si>
    <t>CLAS ONE WIFI 24 PT+</t>
  </si>
  <si>
    <t>CLAS ONE WIFI 30 PT+</t>
  </si>
  <si>
    <t>3234090881240</t>
  </si>
  <si>
    <t>CLAS ONE WIFI 35</t>
  </si>
  <si>
    <t xml:space="preserve">CLAS ONE SYSTEM 35  </t>
  </si>
  <si>
    <t>CLAS B ONE WIFI 35</t>
  </si>
  <si>
    <t>CARES S 24 PT 3T</t>
  </si>
  <si>
    <t>GENUS PREMIUM EVO HP 45KW EU</t>
  </si>
  <si>
    <t>GENUS PREMIUM EVO HP 65KW EU</t>
  </si>
  <si>
    <t>GENUS PREMIUM EVO HP 85KW EU</t>
  </si>
  <si>
    <t>GENUS PREMIUM EVO HP 115KW EU</t>
  </si>
  <si>
    <t>GENUS PREMIUM EVO HP 150 KW EU</t>
  </si>
  <si>
    <t>CALDEIRA CONVENCIONAL</t>
  </si>
  <si>
    <t>CLAS X 24 CF EU</t>
  </si>
  <si>
    <t>CALDEIRA CONVENCIONAL ACC.</t>
  </si>
  <si>
    <t>kit transformación gas nat a prop 24 kW CF Nox</t>
  </si>
  <si>
    <t>REGULAÇÃO</t>
  </si>
  <si>
    <t>CUBE S-NET Preto</t>
  </si>
  <si>
    <t>CUBE S-NET Branco</t>
  </si>
  <si>
    <t>CUBE PRETO</t>
  </si>
  <si>
    <t>CUBE BRANCO</t>
  </si>
  <si>
    <t>5414849989412</t>
  </si>
  <si>
    <t>SENSYS HD NET</t>
  </si>
  <si>
    <t>5414849947429</t>
  </si>
  <si>
    <t>SENSYS HD PRETO</t>
  </si>
  <si>
    <t>5414849947412</t>
  </si>
  <si>
    <t>SENSYS HD BRANCO</t>
  </si>
  <si>
    <t>Sonda externa</t>
  </si>
  <si>
    <t xml:space="preserve">REGULAÇÃO </t>
  </si>
  <si>
    <t>CUBE RF PRETO</t>
  </si>
  <si>
    <t>CUBE RF BRANCO</t>
  </si>
  <si>
    <t>Kit Cube RF NET</t>
  </si>
  <si>
    <t>RECEPTOR RF</t>
  </si>
  <si>
    <t>REPETIDOR RF</t>
  </si>
  <si>
    <t>SONDA EXTERIOR SEM FIOS</t>
  </si>
  <si>
    <t>ARISTON NET LIGHT GATEWAY</t>
  </si>
  <si>
    <t>MÓDULO HIDRÁULICO</t>
  </si>
  <si>
    <t>REGULAÇÃO DE ZONAS</t>
  </si>
  <si>
    <t>KIT 2 ZONAS</t>
  </si>
  <si>
    <t>KIT MULTI-ZONE WIRELESS 2 OUPUTS EU</t>
  </si>
  <si>
    <t>ACESSÓRIO HIDRÁULICO AQUECIMENTO</t>
  </si>
  <si>
    <t>Kit 3 válvulas</t>
  </si>
  <si>
    <t>Kit adaptador universal</t>
  </si>
  <si>
    <t xml:space="preserve">Barra de ligações para caldeiras mistas </t>
  </si>
  <si>
    <t>Barra de ligações acumulação</t>
  </si>
  <si>
    <t xml:space="preserve">Kit preparado para ligação a acumulador BCH </t>
  </si>
  <si>
    <t>Kit recirculação sanitario acumulação</t>
  </si>
  <si>
    <t>ACCESORIO HIDRÁULICO CALEFACCIÓN</t>
  </si>
  <si>
    <t>SEPARADOR MURAL G40 55mm</t>
  </si>
  <si>
    <t>ACESSÓRIO INTEGRAÇÃO SOLAR</t>
  </si>
  <si>
    <t>Barra de ligações solar completa</t>
  </si>
  <si>
    <t xml:space="preserve">Kit válvula misturadora solar </t>
  </si>
  <si>
    <t>Kit válvula gestão solar + sonda NTC</t>
  </si>
  <si>
    <t>Sonda NTC Cares + Clas/Genus EU</t>
  </si>
  <si>
    <t>Kit solar com permutador de placas</t>
  </si>
  <si>
    <t>Kit solar com permutador de placas com válvula 2 vías</t>
  </si>
  <si>
    <t>SAÍDAS DE FUMOS AQUECIMENTO COND</t>
  </si>
  <si>
    <t>KIT DE DESCARGA COAXIAL D60/100  L1.000 COND.</t>
  </si>
  <si>
    <t>KIT DE DESCARGA COAXIAL D60/100 SAIDA HORIZ. COND CINZ</t>
  </si>
  <si>
    <t>KIT DE DESCARGA COAXIAL D60/100 SAIDA VERTICAL COND.</t>
  </si>
  <si>
    <t>KIT SAIDA VERTICAL D60/100 COND.</t>
  </si>
  <si>
    <t>CURVA COAXIAL D60/100 M/H 90º COND.</t>
  </si>
  <si>
    <t>CURVA COAXIAL D60/100 M/H 45º COND. (2 Pzs)</t>
  </si>
  <si>
    <t>EXTENSÃO COAXIAL D60/100 M/H L1.000 COND</t>
  </si>
  <si>
    <t>EXTENSÃO COAXIAL D60/100 M/H L500 COND</t>
  </si>
  <si>
    <t>TELHA PLANA PARA CHAMINÉ NEGRA</t>
  </si>
  <si>
    <t>TERMINAL DE DESCARGA D80/125 PARA TELHADO NEGRO</t>
  </si>
  <si>
    <t>KIT ABRAÇADERA PAREDE D80/125 (3 Pçs)</t>
  </si>
  <si>
    <t>REMATE FACHADA D100 MM PARA DESCARGA COAXIAL</t>
  </si>
  <si>
    <t>KIT COAXIAL 90º SAÍDA DE FUMOS COLETIVA PRESURIZADA C(10)3, C(11)3 E C43P</t>
  </si>
  <si>
    <t>KIT DE DESCARGA COAXIAL D80/125  L1.000 COND.</t>
  </si>
  <si>
    <t>KIT DE DESCARGA  VERTICAL D60/100 A D80/125 COND.</t>
  </si>
  <si>
    <t>CURVA COAXIAL D80/125 M/H 90º COND.</t>
  </si>
  <si>
    <t>TERMINAL DE DESCARGA COAXIAL D80/125 L1.000 COND.</t>
  </si>
  <si>
    <t>CURVA COAXIAL D80/125 M/H 45º COND.</t>
  </si>
  <si>
    <t>EXTENSÃO COAXIAL D80/125 M/H L500 COND.</t>
  </si>
  <si>
    <t>KIT DE DESCARGA DESDOBRADO D80+D80 COND</t>
  </si>
  <si>
    <t>ADAPTADOR D60/100 - D80 DESDOBRADO COND</t>
  </si>
  <si>
    <t>CURVA D80 M/H  90º COND.</t>
  </si>
  <si>
    <t>CURVA D80 M/H  45º COND. (2Pzs)</t>
  </si>
  <si>
    <t>EXTENSÃO D80 M/H L1.000 COND.</t>
  </si>
  <si>
    <t>TERMINAL ASPIRAÇÃO HORIZ. D80 PLÁSTICO</t>
  </si>
  <si>
    <t>TERMINAL EVACUAÇÃO HORIZ. D80 INOXIDÁVEL</t>
  </si>
  <si>
    <t>TERMINAL PARA DESCARGA VERTICAL D80 NEGRO PARA TELHADO PLANO</t>
  </si>
  <si>
    <t>REMATE FACHADA D80 DESCARGA EN DESDOBRADO (2 Pzs)</t>
  </si>
  <si>
    <t>ACESSÓRIO INSTALAÇÃO HP</t>
  </si>
  <si>
    <t>Barra de instalação vertical</t>
  </si>
  <si>
    <t>Barra de instalação horizontal</t>
  </si>
  <si>
    <t>Barra de instalação de solo</t>
  </si>
  <si>
    <t>KIT BOMBA ALTA EFICIENCIA 85 KW_Novo</t>
  </si>
  <si>
    <t>KIT BOMBA ALTA EFICIENCIA 115-150 KW_Novo</t>
  </si>
  <si>
    <t>Válvula de segurança 3 bares</t>
  </si>
  <si>
    <t>VALVULA DE SEGURANÇA 3BARES 85-150 KW</t>
  </si>
  <si>
    <t>Separador hidráulico para caldeira unica 45-65 kW</t>
  </si>
  <si>
    <t>Separador hidráulico para caldeira unica 85-150 kW</t>
  </si>
  <si>
    <t>Kit AQS para caldeira única</t>
  </si>
  <si>
    <t xml:space="preserve">KIT AQS PARA CALDEIRA ÚNICA 85 KW </t>
  </si>
  <si>
    <t xml:space="preserve">KIT AQS PARA CALDEIRA ÚNICA 115-150 KW </t>
  </si>
  <si>
    <t>Kit de válvula de corte para caldeira única</t>
  </si>
  <si>
    <t>KIT VALVULA DE FECHO PARA CALDEIRA ÚNICA 85 KW</t>
  </si>
  <si>
    <t>KIT VALVULA DE FECHO PARA CALDEIRA ÚNICA 115 - 150 kw</t>
  </si>
  <si>
    <t>ACESSÓRIO INSTALAÇÃO CASCATA HP</t>
  </si>
  <si>
    <t>Separador hidráulico para cascata dn65</t>
  </si>
  <si>
    <t>Separador hidráulico para cascata dn100</t>
  </si>
  <si>
    <t>Filtro gas incuido material de ligações</t>
  </si>
  <si>
    <t>Filtro gas inclui material de ligações DN100</t>
  </si>
  <si>
    <t>Tubo de extensão para o filtro de gas</t>
  </si>
  <si>
    <t>Tubo de extensão para o filtro de gas DN 100</t>
  </si>
  <si>
    <t>SUPORTE COLECTOR ESQUERDO</t>
  </si>
  <si>
    <t>SUPORTE COLECTOR DIREITO</t>
  </si>
  <si>
    <t>COLETOR HIDRÁULICO IDA/RETORNO DN65 2 CALDEIRAS</t>
  </si>
  <si>
    <t>COLETOR HIDRÁULICO IDA/RETORNO DN65 3 CALDEIRAS</t>
  </si>
  <si>
    <t>COLETOR HIDRAULICO IDA/RETORNO 2 CALDEIRAS DN100</t>
  </si>
  <si>
    <t>COLETOR HIDRAULICO IDA/RETORNO 3 CALDERAS DN101</t>
  </si>
  <si>
    <t>COLETOR GAS DN65 2 CALDEIRAS</t>
  </si>
  <si>
    <t>COLETOR GAS DN65 3 CALDEIRAS</t>
  </si>
  <si>
    <t>KIT JUNTA DN65</t>
  </si>
  <si>
    <t>KIT JUNTA DN100</t>
  </si>
  <si>
    <t>KIT LIGAÇÕES 2 COLECTORES DN65</t>
  </si>
  <si>
    <t>KIT LIGAÇÕES 2 COLETORES DN100</t>
  </si>
  <si>
    <t>KIT CONEXÃO HP 45-65 kW</t>
  </si>
  <si>
    <t>KIT CONEXÃO HP 85-150 kW</t>
  </si>
  <si>
    <t>ACESSÓRIOS AQUECIMENTO  HP</t>
  </si>
  <si>
    <t>Isolamento de separador hidráulico</t>
  </si>
  <si>
    <t>Isolamento separador hidraulico DN100</t>
  </si>
  <si>
    <t>ISOLAMENTO COLETOR PARA 2 CALDEIRAS DN65</t>
  </si>
  <si>
    <t>ISOLAMENTO COLECTOR PARA 2 CALDEIRAS DN100</t>
  </si>
  <si>
    <t>ISOLAMENTO COLECTOR PARA 3 CALDEIRAS DN65</t>
  </si>
  <si>
    <t>ISOLAMENTO COLECTOR PARA 3 CALDEIRAS DN100</t>
  </si>
  <si>
    <t>REGULAÇÃO HP</t>
  </si>
  <si>
    <t>3590863 </t>
  </si>
  <si>
    <t>CENTRALINA DE CASCATA RVS 43</t>
  </si>
  <si>
    <t>CENTRALINA DE CASCATA RVS 43 + AVS 75</t>
  </si>
  <si>
    <t>Consultar</t>
  </si>
  <si>
    <t>MÓDULO CONTROL DE ZONAS MODUL AVS 75</t>
  </si>
  <si>
    <t>Placa interface caldeira - centralina RVS</t>
  </si>
  <si>
    <t>Sonda exterior QAC34</t>
  </si>
  <si>
    <t>Sonda acumulador QAZ36</t>
  </si>
  <si>
    <t>Mando a distancia digital QAA74</t>
  </si>
  <si>
    <t>Sonda aquecimento QAD36</t>
  </si>
  <si>
    <t>MODBUS CLIP-IN OCI351.01/10X</t>
  </si>
  <si>
    <t>SAÍDA DE FUMOS HP</t>
  </si>
  <si>
    <t>CURVA COAXIAL 80/125 M/H DE 90</t>
  </si>
  <si>
    <t>TERMINAL HORIZONTAL D80/125 L1000</t>
  </si>
  <si>
    <t>ADAPT. SAIDA DE FUMOS EM PARALELO DE 100-100 A CONCENTRICO 110-150 MM</t>
  </si>
  <si>
    <t>EXTENSÃO COAXIAL 110/150MM L=1 M</t>
  </si>
  <si>
    <t>CURVA 90 COAXIAL 110/150 MM</t>
  </si>
  <si>
    <t xml:space="preserve">CURVA 45 COAXIAL 110/150 MM </t>
  </si>
  <si>
    <t>TERMINAL COAXIAL A TELHADO 110/150 MM</t>
  </si>
  <si>
    <t>TERMINAL COAXIAL PAREDE 110/150 MM</t>
  </si>
  <si>
    <t>ADAPTADOR 80/125 - 80/80 PARA SISTEMAS DESDOBRADOS</t>
  </si>
  <si>
    <t>ADAPTADOR EVACUAÇÃO COM TOMA DE ANÁLISE 110 MM</t>
  </si>
  <si>
    <t>TUBO DESCARGA 110MM L=1 M</t>
  </si>
  <si>
    <t>CURVA DESCARGA 90 110 MM</t>
  </si>
  <si>
    <t>CURVA DESCARGA 45 110 MM</t>
  </si>
  <si>
    <t>TERMINAL DESCARGA TELHADO 110 MM</t>
  </si>
  <si>
    <t>TERMINAL DESCARGA PAREDE 110 MM</t>
  </si>
  <si>
    <t xml:space="preserve">ADAPTADOR ASPIRAÇÃO COM TOMA DE ANÁLISE 100 MM </t>
  </si>
  <si>
    <t>TUBO ASPIRAÇÃO AR 100MM L=1 M</t>
  </si>
  <si>
    <t>CURVA ASPIRAÇÃO AR 90 100 MM</t>
  </si>
  <si>
    <t>CURVA ASPIRAÇÃO AR 45 100 MM</t>
  </si>
  <si>
    <t>TERMINAL ASPIRAÇÃO AR 100 MM</t>
  </si>
  <si>
    <t>Kit de saida de fumos BASE DN 150 mm</t>
  </si>
  <si>
    <t>Kit de saida de fumos BASE DN 200 mm</t>
  </si>
  <si>
    <t>Recuperador de condensados + sifão + tampão DN 150 mm</t>
  </si>
  <si>
    <t>Recuperador de condensados + sifão + tampão DN 200 mm</t>
  </si>
  <si>
    <t xml:space="preserve">Adaptador de 80 a 100 mm para modelos  45-65kW </t>
  </si>
  <si>
    <t>AEROTERMIA AQS</t>
  </si>
  <si>
    <t>NUOS PLUS S2 WI-FI 80 WH PT+</t>
  </si>
  <si>
    <t>NUOS PLUS S2 WI-FI 110 WH PT+</t>
  </si>
  <si>
    <t>NUOS PLUS S2 WI-FI 150 WH PT+</t>
  </si>
  <si>
    <t>NUOS PRIMO 200 HC A+ PT 3T</t>
  </si>
  <si>
    <t>NUOS PRIMO 240 HC A+ PT 3T</t>
  </si>
  <si>
    <t>NUOS PRIMO 240 SYS HC A+ PT 3T</t>
  </si>
  <si>
    <t>NUOS SPLIT INVERTER WIFI 120 ER</t>
  </si>
  <si>
    <t>NUOS SPLIT INVERTER WIFI 150 ER</t>
  </si>
  <si>
    <t>NUOS SPLIT INVERTER WIFI 200 ER</t>
  </si>
  <si>
    <t>NUOS SPLIT INVERTER WIFI 270 ER</t>
  </si>
  <si>
    <t>3301870+3060706+3078254+3318962</t>
  </si>
  <si>
    <t>NUOS EXTRA 450-35 + RE 2kW</t>
  </si>
  <si>
    <t>NUOS EXTRA 600-150-T + RE 3/6kW T</t>
  </si>
  <si>
    <t>NUOS EXTRA 800-150-T + RE 3/6kW T</t>
  </si>
  <si>
    <t>NUOS EXTRA 1000-150-T + RE 3/6kW T</t>
  </si>
  <si>
    <t>NUOS EXTRA 1500-150-T + RE 3/6kW T</t>
  </si>
  <si>
    <t>NUOS EXTRA 1500-150-T + RE 10kW T</t>
  </si>
  <si>
    <t>ACESSÓRIOS NUOS</t>
  </si>
  <si>
    <t>Kit ar NUOS para parede mestra  (Nuos Evo)</t>
  </si>
  <si>
    <t>Tubo pvc Ø 125 mm (long 1 m.)</t>
  </si>
  <si>
    <t xml:space="preserve">Curva 90º en ABS para tubo de Ø 125 mm </t>
  </si>
  <si>
    <t>Curva vertical ABS Ø 125 mm a rectangular 150x70</t>
  </si>
  <si>
    <t>Tubo rectangular en PVC 150x70 (long 1,5 m)</t>
  </si>
  <si>
    <t>Grelha flexivel com mola Ø 186 mm</t>
  </si>
  <si>
    <t>Kit ar com tubo rígido Ø150 long. 2,5 m (Nuos 200-250-250 sol)</t>
  </si>
  <si>
    <t>Tubo Ø150 long. 1m</t>
  </si>
  <si>
    <t>Curva 90° para tubo Ø150</t>
  </si>
  <si>
    <t>Curva 90° Ø 200 mm</t>
  </si>
  <si>
    <t>Grelha com mola  Ø 165-200 mm</t>
  </si>
  <si>
    <t>Tubo isolado Ø160 mm comp. 1m</t>
  </si>
  <si>
    <t>Junta Ø160 mm</t>
  </si>
  <si>
    <t>Curva isolada 90° Ø160 mm</t>
  </si>
  <si>
    <t>Grelha para tubo isolado Ø160 mm</t>
  </si>
  <si>
    <t>Suporte Parede Unidade Exterior</t>
  </si>
  <si>
    <t>Suporte Parede Unidade Interior</t>
  </si>
  <si>
    <t>Trípé de chão NUOS SPLIT INVERTER WIFI</t>
  </si>
  <si>
    <t>TRIPÉ NUOS PLUS S2 WIFI</t>
  </si>
  <si>
    <t>COAXIAL KIT S2</t>
  </si>
  <si>
    <t>Adaptador para conexão Ø 160 mm</t>
  </si>
  <si>
    <t>AEROTERMIA AQUECIMENTO MONOBLOCO R32</t>
  </si>
  <si>
    <t>5414849196643</t>
  </si>
  <si>
    <t xml:space="preserve">NIMBUS COMPACT 35 M NET R32 </t>
  </si>
  <si>
    <t>5414849197503</t>
  </si>
  <si>
    <t xml:space="preserve">NIMBUS COMPACT 50 M NET R32 </t>
  </si>
  <si>
    <t>5414849199521</t>
  </si>
  <si>
    <t xml:space="preserve">NIMBUS COMPACT 80 M NET R32 </t>
  </si>
  <si>
    <t>5414849199583</t>
  </si>
  <si>
    <t>NIMBUS COMPACT 80 M 2Z NET R32</t>
  </si>
  <si>
    <t>5414849199590</t>
  </si>
  <si>
    <t xml:space="preserve">NIMBUS COMPACT 80 M-T NET R32 </t>
  </si>
  <si>
    <t>5414849199712</t>
  </si>
  <si>
    <t xml:space="preserve">NIMBUS COMPACT 120 M NET R32 </t>
  </si>
  <si>
    <t>5414849199736</t>
  </si>
  <si>
    <t xml:space="preserve">NIMBUS COMPACT 120 M-T NET R32 </t>
  </si>
  <si>
    <t>5414849199750</t>
  </si>
  <si>
    <t xml:space="preserve">NIMBUS COMPACT 150 M NET R32 </t>
  </si>
  <si>
    <t>5414849199774</t>
  </si>
  <si>
    <t xml:space="preserve">NIMBUS COMPACT 150 M-T NET R32 </t>
  </si>
  <si>
    <t>5414849194267</t>
  </si>
  <si>
    <t xml:space="preserve">NIMBUS PLUS 35 M NET R32 </t>
  </si>
  <si>
    <t>5414849195653</t>
  </si>
  <si>
    <t xml:space="preserve">NIMBUS PLUS 50 M NET R32 </t>
  </si>
  <si>
    <t>5414849195974</t>
  </si>
  <si>
    <t xml:space="preserve">NIMBUS PLUS 80 M NET R32 </t>
  </si>
  <si>
    <t>5414849196032</t>
  </si>
  <si>
    <t xml:space="preserve">NIMBUS PLUS 80 M-T NET R32 </t>
  </si>
  <si>
    <t>5414849196056</t>
  </si>
  <si>
    <t xml:space="preserve">NIMBUS PLUS 120 M NET R32 </t>
  </si>
  <si>
    <t>5414849196063</t>
  </si>
  <si>
    <t xml:space="preserve">NIMBUS PLUS 120 M-T NET R32 </t>
  </si>
  <si>
    <t>5414849196094</t>
  </si>
  <si>
    <t xml:space="preserve">NIMBUS PLUS 150 M NET R32 </t>
  </si>
  <si>
    <t>5414849196629</t>
  </si>
  <si>
    <t xml:space="preserve">NIMBUS PLUS 150 M-T NET R32 </t>
  </si>
  <si>
    <t>5414849199798</t>
  </si>
  <si>
    <t xml:space="preserve">NIMBUS POCKET 35 M NET R32 </t>
  </si>
  <si>
    <t>5414849199804</t>
  </si>
  <si>
    <t xml:space="preserve">NIMBUS POCKET 50 M NET R32 </t>
  </si>
  <si>
    <t>5414849199828</t>
  </si>
  <si>
    <t xml:space="preserve">NIMBUS POCKET 80 M NET R32 </t>
  </si>
  <si>
    <t>5414849199835</t>
  </si>
  <si>
    <t xml:space="preserve">NIMBUS POCKET 80 M-T NET R32 </t>
  </si>
  <si>
    <t>5414849222120</t>
  </si>
  <si>
    <t xml:space="preserve">NIMBUS POCKET 120 M NET R32 </t>
  </si>
  <si>
    <t>5414849241022</t>
  </si>
  <si>
    <t xml:space="preserve">NIMBUS POCKET 120 M-T NET R32 </t>
  </si>
  <si>
    <t>5414849257931</t>
  </si>
  <si>
    <t xml:space="preserve">NIMBUS POCKET 150 M NET R32 </t>
  </si>
  <si>
    <t>5414849258716</t>
  </si>
  <si>
    <t xml:space="preserve">NIMBUS POCKET 150 M-T NET R32 </t>
  </si>
  <si>
    <t>AEROTERMIA AQUECIMENTO SPLIT R32</t>
  </si>
  <si>
    <t xml:space="preserve">NIMBUS COMPACT 35 S NET R32 </t>
  </si>
  <si>
    <t xml:space="preserve">NIMBUS COMPACT 50 S NET R32 </t>
  </si>
  <si>
    <t xml:space="preserve">NIMBUS COMPACT 80 S NET R32 </t>
  </si>
  <si>
    <t>5414849258907</t>
  </si>
  <si>
    <t xml:space="preserve">NIMBUS COMPACT 80 S-T NET R32 </t>
  </si>
  <si>
    <t>NIMBUS COMPACT 120 S NET R32</t>
  </si>
  <si>
    <t>NIMBUS COMPACT 120 S-T NET R32</t>
  </si>
  <si>
    <t>NIMBUS COMPACT 150 S NET R32</t>
  </si>
  <si>
    <t>NIMBUS COMPACT 150 S-T NET R32</t>
  </si>
  <si>
    <t xml:space="preserve">NIMBUS PLUS 35 S NET R32 </t>
  </si>
  <si>
    <t xml:space="preserve">NIMBUS PLUS 50 S NET R32 </t>
  </si>
  <si>
    <t xml:space="preserve">NIMBUS PLUS 80 S NET R32 </t>
  </si>
  <si>
    <t>5414849258839</t>
  </si>
  <si>
    <t xml:space="preserve">NIMBUS PLUS 80 S-T NET R32 </t>
  </si>
  <si>
    <t>NIMBUS PLUS 120 S NET R32</t>
  </si>
  <si>
    <t>NIMBUS PLUS 120 S-T NET R32</t>
  </si>
  <si>
    <t>NIMBUS PLUS 150 S NET R32</t>
  </si>
  <si>
    <t>NIMBUS PLUS 150 S-T NET R32</t>
  </si>
  <si>
    <t>COMPONENTE AEROTERMIA AQUECIMENTO R32</t>
  </si>
  <si>
    <t>5414849990098</t>
  </si>
  <si>
    <t>UNIDADE EXTERNA NIMBUS 35 M EXT R32</t>
  </si>
  <si>
    <t>5414849990104</t>
  </si>
  <si>
    <t xml:space="preserve">UNIDADE EXTERNA NIMBUS 50 M EXT R32 </t>
  </si>
  <si>
    <t>5414849990111</t>
  </si>
  <si>
    <t xml:space="preserve">UNIDADE EXTERNA NIMBUS 80 M EXT R32 </t>
  </si>
  <si>
    <t>5414849990128</t>
  </si>
  <si>
    <t xml:space="preserve">UNIDADE EXTERNA NIMBUS 80 M-T EXT R32 </t>
  </si>
  <si>
    <t>5414849990135</t>
  </si>
  <si>
    <t xml:space="preserve">UNIDADE EXTERNA NIMBUS 120 M EXT R32 </t>
  </si>
  <si>
    <t>5414849990142</t>
  </si>
  <si>
    <t xml:space="preserve">UNIDADE EXTERNA NIMBUS 120 M-T EXT R32 </t>
  </si>
  <si>
    <t>5414849990159</t>
  </si>
  <si>
    <t xml:space="preserve">UNIDADE EXTERNA NIMBUS 150 M EXT R32 </t>
  </si>
  <si>
    <t>5414849990166</t>
  </si>
  <si>
    <t xml:space="preserve">UNIDADE EXTERNA NIMBUS 150 M-T EXT R32 </t>
  </si>
  <si>
    <t>UNIDADE EXTERNA NIMBUS 35 S EXT R32</t>
  </si>
  <si>
    <t xml:space="preserve">UNIDADE EXTERNA NIMBUS 50 S EXT R32 </t>
  </si>
  <si>
    <t xml:space="preserve">UNIDADE EXTERNA NIMBUS 80 S EXT R32 </t>
  </si>
  <si>
    <t>5414849990203</t>
  </si>
  <si>
    <t xml:space="preserve">UNIDADE EXTERNA NIMBUS 80 S-T EXT R32 </t>
  </si>
  <si>
    <t>UNIDADE EXTERNA NIMBUS 120 S EXT R32</t>
  </si>
  <si>
    <t>UNIDADE EXTERNA NIMBUS 120 S-T EXT R32</t>
  </si>
  <si>
    <t>UNIDADE EXTERNA NIMBUS 150 S EXT R32</t>
  </si>
  <si>
    <t>UNIDADE EXTERNA NIMBUS 150 S-T EXT R32</t>
  </si>
  <si>
    <t>5414849990708</t>
  </si>
  <si>
    <t>UNIDADE INTERNA NIMBUS WH M R32 (PLUS)</t>
  </si>
  <si>
    <t>5414849990715</t>
  </si>
  <si>
    <t>UNIDADE INTERNA NIMBUS WH-L M R32 (PLUS)</t>
  </si>
  <si>
    <t>5414849990722</t>
  </si>
  <si>
    <t>UNIDADE INTERNA NIMBUS FS M R32 (COMPACT)</t>
  </si>
  <si>
    <t>5414849990739</t>
  </si>
  <si>
    <t>UNIDADE INTERNA NIMBUS FS M 2Z R32 (COMPACT)</t>
  </si>
  <si>
    <t>5414849990746</t>
  </si>
  <si>
    <t>UNIDADE INTERNA NIMBUS FS-L M R32 (COMPACT)</t>
  </si>
  <si>
    <t>5414849990760</t>
  </si>
  <si>
    <t>UNIDADE INTERNA NIMBUS LB M R32 (POCKET)</t>
  </si>
  <si>
    <t xml:space="preserve">UNIDADE INTERNA NIMBUS WH 3550 S R32 (PLUS) </t>
  </si>
  <si>
    <t>UNIDADE INTERNA NIMBUS WH 80 S R32 (PLUS)</t>
  </si>
  <si>
    <t>UNIDADE INTERNA NIMBUS WH 120150 S R32</t>
  </si>
  <si>
    <t>UNIDADE INTERNA NIMBUS FS 3550 S R32 (COMPACT)</t>
  </si>
  <si>
    <t>UNIDADE INTERNA NIMBUS FS 80 S R32 (COMPACT)</t>
  </si>
  <si>
    <t>UNIDADE INTERNA NIMBUS FS 120150 S R32</t>
  </si>
  <si>
    <t>COMPONENTE CASCATA AEROTERMIA AQUECIMENTO</t>
  </si>
  <si>
    <t>UNIDADE INTERNA  LB M R32 CASCATA (POCKET)</t>
  </si>
  <si>
    <t>NIMBUS CENTRALITA CASCATA</t>
  </si>
  <si>
    <t xml:space="preserve">ACESSÓRIO NIMBUS </t>
  </si>
  <si>
    <t>kit válvulas e filtros</t>
  </si>
  <si>
    <t>Kit By-pass diferencial regulável</t>
  </si>
  <si>
    <t>Bandeja de recolha de condensados unidade exterior</t>
  </si>
  <si>
    <t>Kit silent blocks unidade exterior</t>
  </si>
  <si>
    <t>CKZ 25 H - Depósito de inercia 25 litros</t>
  </si>
  <si>
    <t>CKZ 50 H - Depósito de inercia 50 litros</t>
  </si>
  <si>
    <t>5411692013431</t>
  </si>
  <si>
    <t>CKZ 80 H - Depósito de inercia 80 litros</t>
  </si>
  <si>
    <t>5411692013424</t>
  </si>
  <si>
    <t>CKZ 100 H - Depósito de inercia 100 litros</t>
  </si>
  <si>
    <t>5411692013448</t>
  </si>
  <si>
    <t>CKZ 200 H - Deósito de inercia 200 litros</t>
  </si>
  <si>
    <t>Bomba auxiliar para depósito de inercia</t>
  </si>
  <si>
    <t>Kit sonda interacumulador AQS</t>
  </si>
  <si>
    <t>Válvula de 3 vías per AQS ou Refrigeração</t>
  </si>
  <si>
    <t>Humidistato de segurança</t>
  </si>
  <si>
    <t>Kit exogel</t>
  </si>
  <si>
    <t>5414849297289</t>
  </si>
  <si>
    <t>Barra de conexiones hidráulicas unidad interior PLUS M</t>
  </si>
  <si>
    <t>5414849298330</t>
  </si>
  <si>
    <t>Conexiones hidráulicas para todas direcciones (sup. - dcha - izq.) para COMPACT M</t>
  </si>
  <si>
    <t>5414849300644</t>
  </si>
  <si>
    <t>Conexiones hidráulicas parte superior para COMPACT M 2 ZONAS</t>
  </si>
  <si>
    <t>5414849306288</t>
  </si>
  <si>
    <t>KIT ACS integrable en unidad interior PLUS M y S</t>
  </si>
  <si>
    <t>5414849305106</t>
  </si>
  <si>
    <t>Barra de conexiones hidráulicas unidad interior PLUS S</t>
  </si>
  <si>
    <t>5414849301245</t>
  </si>
  <si>
    <t>Conexiones hidráulicas para todas direcciones (sup. - dcha - izq.) para COMPACT S</t>
  </si>
  <si>
    <t>5414849306264</t>
  </si>
  <si>
    <t>Kit resistencia eléctrica 2kW para ACS integrable en depósito unidad interior COMPACT</t>
  </si>
  <si>
    <t>5414849306035</t>
  </si>
  <si>
    <t>Vaso de expansión ACS 8 lts integrable en unidad interior COMPACT</t>
  </si>
  <si>
    <t>Sonda a contacto</t>
  </si>
  <si>
    <t>Filtro Magnético con inibidor</t>
  </si>
  <si>
    <t>Válvula misturadora com isolamento</t>
  </si>
  <si>
    <t>ACESSÓRIO NIMBUS DEPOSITO ACS</t>
  </si>
  <si>
    <t>5414849993792</t>
  </si>
  <si>
    <t>CD1 200 HHP</t>
  </si>
  <si>
    <t>5414849993808</t>
  </si>
  <si>
    <t>CD1 300 HHP</t>
  </si>
  <si>
    <t>5414849993815</t>
  </si>
  <si>
    <t>CD1 450 HHP</t>
  </si>
  <si>
    <t>3234090879261</t>
  </si>
  <si>
    <t>KIT ELÉCTRICO CD1 HHP 2 kW</t>
  </si>
  <si>
    <t>3234090880816</t>
  </si>
  <si>
    <t>KIT PASSIVE ANODE MG</t>
  </si>
  <si>
    <t>KIT DE RESISTENCIA ELÉCTRICA TRIFÁSICA 3kW/6kW PARA DEPÓSITO ACS</t>
  </si>
  <si>
    <t>KIT DE RESISTENCIA ELÉCTRICA TRIFÁSICA 10kW PARA DEPÓSITO ACS</t>
  </si>
  <si>
    <t>ADAPTADOR PARA KIT DE RESISTENCIA ELÉCTRICA</t>
  </si>
  <si>
    <t>VENTILOCONVENTORES</t>
  </si>
  <si>
    <t>NIMBUS AQUASLIM WH 15</t>
  </si>
  <si>
    <t>NIMBUS AQUASLIM WH 25</t>
  </si>
  <si>
    <t>NIMBUS AQUASLIM FS 20</t>
  </si>
  <si>
    <t>NIMBUS AQUASLIM FS 40</t>
  </si>
  <si>
    <t>ACESSÓRIOS  VENTILOCONVENTORES</t>
  </si>
  <si>
    <t>Interface táctil integrado Smart Touch FS</t>
  </si>
  <si>
    <t>Cartão electrónico para controlador de parede (para controle de parede) FS</t>
  </si>
  <si>
    <t xml:space="preserve">Controle de parede Smart Touch FS (necessita um cartão 3301557 em cada fancoil) </t>
  </si>
  <si>
    <t>Válvula a 3 vias AquaSlim FS</t>
  </si>
  <si>
    <t>Pés estéticos AQUASLIM FS</t>
  </si>
  <si>
    <t>Bandeja recolha de condensados para teto FS 20</t>
  </si>
  <si>
    <t>Bandeja recolha de condensados para teto FS 40</t>
  </si>
  <si>
    <t>Racord 3/4" EK para válvula FS</t>
  </si>
  <si>
    <t>NIMBUS AQUASLIM 25 DUCT F</t>
  </si>
  <si>
    <t>NIMBUS AQUASLIM 35 DUCT F</t>
  </si>
  <si>
    <t>NIMBUS AQUASLIM 60 DUCT F</t>
  </si>
  <si>
    <t>NIMBUS AQUASLIM 90 DUCT F</t>
  </si>
  <si>
    <t>NIMBUS AQUASLIM 110 DUCT F</t>
  </si>
  <si>
    <t>Válvula 3 vías com atuador e conexão TA AQUASLIM DUCT</t>
  </si>
  <si>
    <t>Termostato digital para DUCT Premium</t>
  </si>
  <si>
    <t>AR CONDICIONADO</t>
  </si>
  <si>
    <t>ALYS R32 C 25 MUD0</t>
  </si>
  <si>
    <t>5414849770119</t>
  </si>
  <si>
    <t>QUAD 110 XD0C-O</t>
  </si>
  <si>
    <t>5414849770126</t>
  </si>
  <si>
    <t>PENTA 121 XD0C-O</t>
  </si>
  <si>
    <t>MUC R32 035 MM-O</t>
  </si>
  <si>
    <t>5414849927599</t>
  </si>
  <si>
    <t>MUC R32 050 MM-O</t>
  </si>
  <si>
    <t>5414849927933</t>
  </si>
  <si>
    <t>MUC R32 100 MM-O</t>
  </si>
  <si>
    <t>5414849928183</t>
  </si>
  <si>
    <t xml:space="preserve">RC LCAC </t>
  </si>
  <si>
    <t xml:space="preserve">KIT WIFI CLIMA </t>
  </si>
  <si>
    <t>KIT SOLAR CIRCULAÇÃO NATURAL</t>
  </si>
  <si>
    <t>KAIROS THERMO GR2 150-1 TR</t>
  </si>
  <si>
    <t>KAIROS THERMO GR2 150-1 TT</t>
  </si>
  <si>
    <t>KAIROS THERMO GR2 200-1 TR</t>
  </si>
  <si>
    <t>KAIROS THERMO GR2 200-1 TT</t>
  </si>
  <si>
    <t>KAIROS THERMO GR2 300-2 TR</t>
  </si>
  <si>
    <t>KAIROS THERMO GR2 300-2 TT</t>
  </si>
  <si>
    <t>ACESSÓRIOS  SOLAR TÉRMICA</t>
  </si>
  <si>
    <t>KIT ELECTRICO 1.500 W  PARA THERMO 150/200/300L</t>
  </si>
  <si>
    <t xml:space="preserve"> COLETOR SOLAR</t>
  </si>
  <si>
    <t>KAIROS XP 2.5-1 H</t>
  </si>
  <si>
    <t>KAIROS XP 2.5-1 V</t>
  </si>
  <si>
    <t>ACESSÓRIOS COLETOR SOLAR</t>
  </si>
  <si>
    <t>Kit conexiones hidráulicas para 1 colector XP 2.5</t>
  </si>
  <si>
    <t>Kit conexiones hidráulicas para extensión XP 2.5</t>
  </si>
  <si>
    <t>Barra Horizontal XP 2.5 H</t>
  </si>
  <si>
    <t>Tríángulo XP 2.5 H</t>
  </si>
  <si>
    <t>Barra Horizontal XP 2.5 V</t>
  </si>
  <si>
    <t>Tríángulo XP 2.5 V</t>
  </si>
  <si>
    <t>KAIROS CF 2.0-1</t>
  </si>
  <si>
    <t>Kit ligações hidráulicas para 1 colector CF 2.0-1</t>
  </si>
  <si>
    <t>Kit ligações hidráulicas para extensão CF 2.0-1</t>
  </si>
  <si>
    <t>Barra horizontal CF 2.0</t>
  </si>
  <si>
    <t>Chassis telhado para 1 colector CF 2.0-1</t>
  </si>
  <si>
    <t>Chassis telhado para 2 colectores CF 2.0-1</t>
  </si>
  <si>
    <t>Chassis telhado extensão 2 colectores CF 2.0-1</t>
  </si>
  <si>
    <t>Jogo de 2 ganchos inox universal</t>
  </si>
  <si>
    <t>Jogo de 2 ganchos para telha mista e plana</t>
  </si>
  <si>
    <t>Barra roscada para telhado ondulado</t>
  </si>
  <si>
    <t>SOLAR MANAGER IZY PLUS</t>
  </si>
  <si>
    <t>SONDA SOLAR AGUA SANITARIA PT1000</t>
  </si>
  <si>
    <t>SONDA SOLAR COLECTOR PT1000</t>
  </si>
  <si>
    <t>GRUPO BOMPA SOLAR DIGITAL (AR)</t>
  </si>
  <si>
    <t>Grupo bomba solar 25-70 AR</t>
  </si>
  <si>
    <t>Grupo bomba solar 25-145</t>
  </si>
  <si>
    <t>Vaso expansão solar 18 l</t>
  </si>
  <si>
    <t>Vaso expansão solar 25 l</t>
  </si>
  <si>
    <t>Grupo de segurança hidráulico 1/2"</t>
  </si>
  <si>
    <t>Grupo segurança hidráulico 3/4"</t>
  </si>
  <si>
    <t>Grupo segurança hidráulico 1"</t>
  </si>
  <si>
    <t>Sifão 1"</t>
  </si>
  <si>
    <t>Líquido anticongelante ( 5 litros)</t>
  </si>
  <si>
    <t>ACUMULADORES</t>
  </si>
  <si>
    <t>ARB CDS 80 AR - EU 2</t>
  </si>
  <si>
    <t>ARB CDS 100 AR - EU 2</t>
  </si>
  <si>
    <t>ARB CDS 150 AR - EU 2</t>
  </si>
  <si>
    <t>ARB CDS 200 AR - EU 2</t>
  </si>
  <si>
    <t>BCH CD1 80 ARI - EU</t>
  </si>
  <si>
    <t>BCH CD1 120 ARI - EU</t>
  </si>
  <si>
    <t>BCH CD1 160 ARI - EU</t>
  </si>
  <si>
    <t>CD1 600 HHP</t>
  </si>
  <si>
    <t>CD1 800 HHP</t>
  </si>
  <si>
    <t>CD1 1000 HHP</t>
  </si>
  <si>
    <t>CD1 1500 HHP</t>
  </si>
  <si>
    <t>CD2 300 HHP</t>
  </si>
  <si>
    <t>CD2 450 HHP</t>
  </si>
  <si>
    <t>CD2 600 HHP</t>
  </si>
  <si>
    <t>CD2 800 HHP</t>
  </si>
  <si>
    <t>CD2 1000 HHP</t>
  </si>
  <si>
    <t>CD2 1500 HHP</t>
  </si>
  <si>
    <t>ACESSÓRIOS  ACUMULADORES</t>
  </si>
  <si>
    <t>KIT ELECTRICO ARB 1500 W 230 V</t>
  </si>
  <si>
    <t>KIT ELECTRICO ARB 2500 W 230 V</t>
  </si>
  <si>
    <t>KIT ELECTRICO ARB 2500 W - TRI</t>
  </si>
  <si>
    <t>KIT ELECTRICO BCH 1.8KW_2020 80L -120L - INST. MURAL</t>
  </si>
  <si>
    <t>KIT ELECTRICO BCH 2.5KW_2020 120L -160L - INST. MURAL</t>
  </si>
  <si>
    <t>KIT ELECTRICO BCH 1,8 KW_2020 80L - INST. SUELO</t>
  </si>
  <si>
    <t>KIT ELEC. BCH 2,2 KW_2020 120-160L - INST. SUELO</t>
  </si>
  <si>
    <t>Kit de instalação mural BCH</t>
  </si>
  <si>
    <t>Kit de instalação chão BCH</t>
  </si>
  <si>
    <t>Kit termostato BCH</t>
  </si>
  <si>
    <t>KIT DE RESISTENCIA ELÉCTRICA 2KW CD2 HHP</t>
  </si>
  <si>
    <t>SOPORTE INTERACUMULADOR VERTICAL SUELO (PATAS)</t>
  </si>
  <si>
    <t>AHDI001- INTER MUL 150L DC</t>
  </si>
  <si>
    <t>Interacumulador de dupla envolvente</t>
  </si>
  <si>
    <t>AHDI002 - INTER MUL 200L DC</t>
  </si>
  <si>
    <t>AHDI003 - INTER MUL 300L DC</t>
  </si>
  <si>
    <t>TERMOSTATO 16 A - 35 CM</t>
  </si>
  <si>
    <t>BRIDA DEPOSITO HORIZONTAL (RESISTENCIA, ÁNODO y VAINA)</t>
  </si>
  <si>
    <t>JUNTA BRIDA GOMA</t>
  </si>
  <si>
    <t>BRIDA DEPOSITO VERTICAL (RESISTENCIA, ÁNODO y VAINA)</t>
  </si>
  <si>
    <t>JUNTA RESISTENCIA REDONDA</t>
  </si>
  <si>
    <t>Curva M/H de 90º Ø 60/100 mm</t>
  </si>
  <si>
    <t>TARIFA ARISTON PROFISSIONAL MAIO 2026</t>
  </si>
  <si>
    <t>PVP Maio 2026</t>
  </si>
  <si>
    <t>Incremento Maio 26 vs Mar 25</t>
  </si>
  <si>
    <t>10 semanas de tempo de entrega</t>
  </si>
  <si>
    <t>Sob encomenda. Consultar disponibilidade.</t>
  </si>
  <si>
    <t>Sob encomenda. Consultar disponibilidade. Kit elétrico para CD2 HHP</t>
  </si>
  <si>
    <t>LYDOS HYBRID WI-FI 130</t>
  </si>
  <si>
    <t>NOVO. Substitui o 3381412</t>
  </si>
  <si>
    <t>NOVO. Substitui o 3381517</t>
  </si>
  <si>
    <t>NOVO. Substitui o 3381518</t>
  </si>
  <si>
    <t>ALYS NET 70 MUA1</t>
  </si>
  <si>
    <t>ALYS NET 50 MUA1</t>
  </si>
  <si>
    <t>ALYS NET 35 MUA1</t>
  </si>
  <si>
    <t>NOVO. Substitui o 3381252</t>
  </si>
  <si>
    <t>NOVO. Substitui o 3381253</t>
  </si>
  <si>
    <t>NOVO. Substitui o 3381515</t>
  </si>
  <si>
    <t>ALYS NET 35 UA1-I</t>
  </si>
  <si>
    <t>ALYS NET 50 UA1-I</t>
  </si>
  <si>
    <t>ALYS NET 70 UA1-I</t>
  </si>
  <si>
    <t>ALYS NET 25 UA1-I</t>
  </si>
  <si>
    <t>NOVO. Substitui o 3381251</t>
  </si>
  <si>
    <t>NOVO. Substitui o 3381417</t>
  </si>
  <si>
    <t>NOVO. Substitui o 3381418</t>
  </si>
  <si>
    <t>NOVO. Substitui o 3381419</t>
  </si>
  <si>
    <t>NEVIS NET 25 MUA1</t>
  </si>
  <si>
    <t>NEVIS NET 35 MUA1</t>
  </si>
  <si>
    <t>NEVIS NET 50 MUA1</t>
  </si>
  <si>
    <t>NOVO. Substitui o 3381420</t>
  </si>
  <si>
    <t>NOVO. Substitui o 3381421</t>
  </si>
  <si>
    <t>NOVO. Substitui o 3381422</t>
  </si>
  <si>
    <t>NEVIS NET 50 UA1-I</t>
  </si>
  <si>
    <t>NEVIS NET 35 UA1-I</t>
  </si>
  <si>
    <t>NEVIS NET 25 UA1-I</t>
  </si>
  <si>
    <t>NOVO. Substitui o 3381483</t>
  </si>
  <si>
    <t>NOVO. Substitui o 3381492</t>
  </si>
  <si>
    <t>NOVO. Substitui o 3381493</t>
  </si>
  <si>
    <t>NOVO. Substitui o 3381494</t>
  </si>
  <si>
    <t>NOVO. Substitui o 3381495</t>
  </si>
  <si>
    <t>NOVO. Substitui o 3381496</t>
  </si>
  <si>
    <t>NOVO. Substitui o 3381506</t>
  </si>
  <si>
    <t>NOVO. Substitui o 3381507</t>
  </si>
  <si>
    <t>DUC R32 025 U-I N</t>
  </si>
  <si>
    <t>DUC R32 035 U-I N</t>
  </si>
  <si>
    <t>DUC R32 050 U-I N</t>
  </si>
  <si>
    <t>DUC R32 070 U-I N</t>
  </si>
  <si>
    <t>DUC R32 085 U-I N</t>
  </si>
  <si>
    <t>DUC R32 100 U-I N</t>
  </si>
  <si>
    <t>MUC R32 070 MM-O N</t>
  </si>
  <si>
    <t>MUC R32 085 MM-O N</t>
  </si>
  <si>
    <t>NOVO. Substitui o 3381358</t>
  </si>
  <si>
    <t>Wired Controller N</t>
  </si>
  <si>
    <t>NOVO</t>
  </si>
  <si>
    <t>NOVO.</t>
  </si>
  <si>
    <t>NOVO. Substitui o 4057038</t>
  </si>
  <si>
    <t>NOVO. Substitui o 4057039</t>
  </si>
  <si>
    <t>NOVO. Substitui o 4057040</t>
  </si>
  <si>
    <t>NUOS PLUS S2 WIFI 200 FS PT+</t>
  </si>
  <si>
    <t>NUOS PLUS S2 WIFI 250 FS PT+</t>
  </si>
  <si>
    <t>NUOS PLUS S2 WIFI 250 SYS FS PT+</t>
  </si>
  <si>
    <t>NUOS FIT S2 WIFI 200 PT+</t>
  </si>
  <si>
    <t>NUOS FIT S2 WIFI 250 PT+</t>
  </si>
  <si>
    <t>AKROS R X 11 NG EU</t>
  </si>
  <si>
    <t>AKROS R X 11 LPG EU</t>
  </si>
  <si>
    <t>NOVO. Sustiui o 3632412</t>
  </si>
  <si>
    <t>NOVO. Sustiui o 3632413</t>
  </si>
  <si>
    <t>Até fim de existências</t>
  </si>
  <si>
    <t>Esquentador completo</t>
  </si>
  <si>
    <t>MGZ I mod 2.0 - 1 ZONA ALTA TEMPERATURA EU</t>
  </si>
  <si>
    <t>MGZ II mod 2.0 - 2 ZONAS ALTA TEMPERATURA EU</t>
  </si>
  <si>
    <t>NOVO. Sustiui o 3318620</t>
  </si>
  <si>
    <t>NOVO. Sustiui o 3318621</t>
  </si>
  <si>
    <t>MGZ III mod 2.0 - 3 ZONAS ALTA TEMPERATURA EU</t>
  </si>
  <si>
    <t>NOVO. Sustiui o 3318622</t>
  </si>
  <si>
    <t>MGm II mod 2.0 - Gestión de 2 zonas: 1 ALTA TEMP. + 1 BAJA TEMP. EU</t>
  </si>
  <si>
    <t>NOVO. Sustiui o 3318624</t>
  </si>
  <si>
    <t>MGm III mod - Gestión de 3 zonas: 1 ALTA TEMP. + 2 BAJA TEMP. EU</t>
  </si>
  <si>
    <t>NOVO. Sustiui o 3318625</t>
  </si>
  <si>
    <t>MGm II C/F mod 2.0 - Gestión de 2 zonas: 1 ALTA TEMP. + 1 BAJA TEMP. EU - Calef./Refrig.</t>
  </si>
  <si>
    <t>NOVO. Substitui o 3319114</t>
  </si>
  <si>
    <t>ZONE MANAGER 2.0</t>
  </si>
  <si>
    <t>NOVO. Sustiui o 3318628 e 3319079</t>
  </si>
  <si>
    <t>KIT MULTIFUNCIONAL 2.0  - GESTIÓN DE 3 ZONAS DIRECTAS</t>
  </si>
  <si>
    <t>NOVO. Sustiui o 3318636</t>
  </si>
  <si>
    <t>NOVO. Substitui o 3381524</t>
  </si>
  <si>
    <t>NOVO. Substitui o 3381525</t>
  </si>
  <si>
    <t>DUAL C 40 XD0C-O</t>
  </si>
  <si>
    <t>TRIAL C 50 XD0C-O</t>
  </si>
  <si>
    <t xml:space="preserve">KIT ELÉTRICO 2.000W para Kairos Thermo GR2 300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</si>
</sst>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#,##0\ &quot;€&quot;;[Red]\-#,##0\ &quot;€&quot;"/>
    <numFmt numFmtId="44" formatCode="_-* #,##0.00\ &quot;€&quot;_-;\-* #,##0.00\ &quot;€&quot;_-;_-* &quot;-&quot;??\ &quot;€&quot;_-;_-@_-"/>
    <numFmt numFmtId="164" formatCode="_(&quot;€&quot;* #,##0.00_);_(&quot;€&quot;* \(#,##0.00\);_(&quot;€&quot;* &quot;-&quot;??_);_(@_)"/>
    <numFmt numFmtId="165" formatCode="_-* #,##0\ &quot;€&quot;_-;\-* #,##0\ &quot;€&quot;_-;_-* &quot;-&quot;??\ &quot;€&quot;_-;_-@_-"/>
    <numFmt numFmtId="166" formatCode="#,##0\ &quot;€&quot;"/>
    <numFmt numFmtId="167" formatCode="0.0%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6"/>
      <color rgb="FF000000"/>
      <name val="Calibri"/>
      <family val="2"/>
      <scheme val="minor"/>
    </font>
    <font>
      <sz val="10"/>
      <color rgb="FF000000"/>
      <name val="Calibri Light"/>
      <family val="2"/>
    </font>
    <font>
      <sz val="10"/>
      <color theme="1"/>
      <name val="Calibri Light"/>
      <family val="2"/>
      <scheme val="major"/>
    </font>
    <font>
      <b/>
      <sz val="14"/>
      <color rgb="FF000000"/>
      <name val="Helvetica Neue"/>
      <charset val="1"/>
    </font>
    <font>
      <sz val="11"/>
      <color rgb="FF000000"/>
      <name val="Helvetica Neue"/>
      <charset val="1"/>
    </font>
    <font>
      <sz val="11"/>
      <color theme="1"/>
      <name val="Calibri"/>
      <family val="2"/>
    </font>
    <font>
      <sz val="9"/>
      <color rgb="FF000000"/>
      <name val="Calibri"/>
      <family val="2"/>
    </font>
    <font>
      <b/>
      <sz val="11"/>
      <color rgb="FFFFFFFF"/>
      <name val="Calibri Light"/>
      <family val="2"/>
    </font>
    <font>
      <sz val="10"/>
      <color theme="1"/>
      <name val="Calibri"/>
      <family val="2"/>
      <scheme val="minor"/>
    </font>
    <font>
      <sz val="1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rgb="FF00B050"/>
      <name val="Calibri"/>
      <family val="2"/>
      <scheme val="minor"/>
    </font>
    <font>
      <b/>
      <sz val="26"/>
      <color rgb="FF00B050"/>
      <name val="Calibri Light"/>
      <family val="2"/>
    </font>
    <font>
      <sz val="10"/>
      <name val="Calibri"/>
      <family val="2"/>
    </font>
    <font>
      <sz val="1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rgb="FF000000"/>
      </patternFill>
    </fill>
  </fills>
  <borders count="9">
    <border>
      <left/>
      <right/>
      <top/>
      <bottom/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medium">
        <color rgb="FF808080"/>
      </bottom>
      <diagonal/>
    </border>
    <border>
      <left style="thin">
        <color rgb="FFD0CECE"/>
      </left>
      <right/>
      <top style="thin">
        <color rgb="FFD0CECE"/>
      </top>
      <bottom style="medium">
        <color rgb="FF808080"/>
      </bottom>
      <diagonal/>
    </border>
    <border>
      <left/>
      <right style="thin">
        <color rgb="FFD0CECE"/>
      </right>
      <top style="thin">
        <color rgb="FFD0CECE"/>
      </top>
      <bottom style="medium">
        <color rgb="FF808080"/>
      </bottom>
      <diagonal/>
    </border>
    <border>
      <left/>
      <right/>
      <top/>
      <bottom style="thin">
        <color rgb="FFD0CECE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medium">
        <color rgb="FF808080"/>
      </top>
      <bottom style="thin">
        <color theme="0" tint="-0.14999847407452621"/>
      </bottom>
      <diagonal/>
    </border>
    <border>
      <left/>
      <right/>
      <top/>
      <bottom style="thin">
        <color rgb="FFD9D9D9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6" fillId="0" borderId="0" xfId="0" applyFont="1" applyAlignment="1">
      <alignment horizontal="left"/>
    </xf>
    <xf numFmtId="1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7" xfId="0" applyFont="1" applyBorder="1"/>
    <xf numFmtId="0" fontId="4" fillId="0" borderId="5" xfId="0" applyFont="1" applyBorder="1"/>
    <xf numFmtId="165" fontId="4" fillId="0" borderId="5" xfId="0" applyNumberFormat="1" applyFont="1" applyBorder="1"/>
    <xf numFmtId="9" fontId="4" fillId="0" borderId="0" xfId="2" applyFont="1"/>
    <xf numFmtId="0" fontId="11" fillId="0" borderId="0" xfId="0" applyFont="1"/>
    <xf numFmtId="0" fontId="4" fillId="0" borderId="0" xfId="0" applyFont="1" applyAlignment="1">
      <alignment horizontal="center"/>
    </xf>
    <xf numFmtId="165" fontId="13" fillId="0" borderId="5" xfId="3" applyNumberFormat="1" applyFont="1" applyBorder="1"/>
    <xf numFmtId="165" fontId="14" fillId="0" borderId="6" xfId="3" applyNumberFormat="1" applyFont="1" applyFill="1" applyBorder="1"/>
    <xf numFmtId="9" fontId="9" fillId="2" borderId="2" xfId="1" applyNumberFormat="1" applyFont="1" applyFill="1" applyBorder="1" applyAlignment="1">
      <alignment horizontal="center" vertical="center" wrapText="1"/>
    </xf>
    <xf numFmtId="9" fontId="12" fillId="0" borderId="0" xfId="2" applyFont="1"/>
    <xf numFmtId="0" fontId="16" fillId="0" borderId="0" xfId="0" applyFont="1" applyAlignment="1">
      <alignment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left" vertical="center"/>
    </xf>
    <xf numFmtId="165" fontId="14" fillId="0" borderId="6" xfId="3" applyNumberFormat="1" applyFont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1" fontId="3" fillId="0" borderId="4" xfId="0" applyNumberFormat="1" applyFont="1" applyBorder="1" applyAlignment="1">
      <alignment horizontal="left"/>
    </xf>
    <xf numFmtId="9" fontId="15" fillId="0" borderId="5" xfId="2" applyFont="1" applyFill="1" applyBorder="1" applyAlignment="1">
      <alignment horizontal="left"/>
    </xf>
    <xf numFmtId="9" fontId="14" fillId="0" borderId="5" xfId="2" applyFont="1" applyFill="1" applyBorder="1" applyAlignment="1">
      <alignment horizontal="left"/>
    </xf>
    <xf numFmtId="9" fontId="10" fillId="0" borderId="5" xfId="2" applyFont="1" applyFill="1" applyBorder="1" applyAlignment="1">
      <alignment horizontal="left"/>
    </xf>
    <xf numFmtId="9" fontId="13" fillId="0" borderId="5" xfId="2" applyFont="1" applyFill="1" applyBorder="1" applyAlignment="1">
      <alignment horizontal="left"/>
    </xf>
    <xf numFmtId="165" fontId="13" fillId="0" borderId="6" xfId="3" applyNumberFormat="1" applyFont="1" applyFill="1" applyBorder="1"/>
    <xf numFmtId="3" fontId="15" fillId="0" borderId="5" xfId="2" applyNumberFormat="1" applyFont="1" applyFill="1" applyBorder="1" applyAlignment="1">
      <alignment horizontal="center"/>
    </xf>
    <xf numFmtId="2" fontId="10" fillId="0" borderId="5" xfId="2" applyNumberFormat="1" applyFont="1" applyFill="1" applyBorder="1" applyAlignment="1">
      <alignment horizontal="left"/>
    </xf>
    <xf numFmtId="9" fontId="13" fillId="0" borderId="5" xfId="2" applyFont="1" applyFill="1" applyBorder="1" applyAlignment="1">
      <alignment horizontal="center"/>
    </xf>
    <xf numFmtId="166" fontId="10" fillId="0" borderId="6" xfId="2" applyNumberFormat="1" applyFont="1" applyFill="1" applyBorder="1" applyAlignment="1">
      <alignment horizontal="right"/>
    </xf>
    <xf numFmtId="166" fontId="10" fillId="0" borderId="5" xfId="2" applyNumberFormat="1" applyFont="1" applyFill="1" applyBorder="1" applyAlignment="1">
      <alignment horizontal="right"/>
    </xf>
    <xf numFmtId="0" fontId="3" fillId="0" borderId="4" xfId="0" applyFont="1" applyBorder="1"/>
    <xf numFmtId="6" fontId="17" fillId="0" borderId="8" xfId="0" applyNumberFormat="1" applyFont="1" applyBorder="1"/>
    <xf numFmtId="12" fontId="3" fillId="0" borderId="4" xfId="0" applyNumberFormat="1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165" fontId="14" fillId="0" borderId="6" xfId="3" applyNumberFormat="1" applyFont="1" applyBorder="1" applyAlignment="1">
      <alignment horizontal="center"/>
    </xf>
    <xf numFmtId="9" fontId="10" fillId="0" borderId="5" xfId="2" applyFont="1" applyBorder="1" applyAlignment="1">
      <alignment horizontal="left"/>
    </xf>
    <xf numFmtId="9" fontId="4" fillId="0" borderId="0" xfId="2" applyFont="1" applyFill="1"/>
    <xf numFmtId="167" fontId="14" fillId="0" borderId="6" xfId="3" applyNumberFormat="1" applyFont="1" applyFill="1" applyBorder="1" applyAlignment="1">
      <alignment horizontal="center"/>
    </xf>
    <xf numFmtId="167" fontId="14" fillId="0" borderId="6" xfId="3" applyNumberFormat="1" applyFont="1" applyBorder="1" applyAlignment="1">
      <alignment horizontal="center"/>
    </xf>
    <xf numFmtId="167" fontId="17" fillId="0" borderId="8" xfId="0" applyNumberFormat="1" applyFont="1" applyBorder="1" applyAlignment="1">
      <alignment horizontal="center"/>
    </xf>
    <xf numFmtId="0" fontId="18" fillId="0" borderId="4" xfId="0" applyFont="1" applyBorder="1" applyAlignment="1">
      <alignment horizontal="left"/>
    </xf>
    <xf numFmtId="9" fontId="9" fillId="2" borderId="2" xfId="1" applyNumberFormat="1" applyFont="1" applyFill="1" applyBorder="1" applyAlignment="1">
      <alignment horizontal="center" vertical="center" wrapText="1"/>
    </xf>
    <xf numFmtId="9" fontId="9" fillId="2" borderId="3" xfId="1" applyNumberFormat="1" applyFont="1" applyFill="1" applyBorder="1" applyAlignment="1">
      <alignment horizontal="center" vertical="center" wrapText="1"/>
    </xf>
  </cellXfs>
  <cellStyles count="4">
    <cellStyle name="Moneda" xfId="1" builtinId="4"/>
    <cellStyle name="Moneda 2" xfId="3" xr:uid="{00000000-0005-0000-0000-000001000000}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</xdr:colOff>
      <xdr:row>0</xdr:row>
      <xdr:rowOff>247650</xdr:rowOff>
    </xdr:from>
    <xdr:to>
      <xdr:col>8</xdr:col>
      <xdr:colOff>183407</xdr:colOff>
      <xdr:row>1</xdr:row>
      <xdr:rowOff>55245</xdr:rowOff>
    </xdr:to>
    <xdr:pic>
      <xdr:nvPicPr>
        <xdr:cNvPr id="2" name="Imagen 1" descr="Ariston Group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9840"/>
        <a:stretch/>
      </xdr:blipFill>
      <xdr:spPr bwMode="auto">
        <a:xfrm>
          <a:off x="9248775" y="247650"/>
          <a:ext cx="2746267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509"/>
  <sheetViews>
    <sheetView showGridLines="0" tabSelected="1" topLeftCell="B1" zoomScaleNormal="100" workbookViewId="0">
      <pane ySplit="4" topLeftCell="A5" activePane="bottomLeft" state="frozen"/>
      <selection pane="bottomLeft" activeCell="E18" sqref="E18"/>
    </sheetView>
  </sheetViews>
  <sheetFormatPr baseColWidth="10" defaultColWidth="9.140625" defaultRowHeight="12.75" customHeight="1"/>
  <cols>
    <col min="1" max="1" width="5.5703125" style="4" customWidth="1"/>
    <col min="2" max="2" width="35.28515625" style="4" customWidth="1"/>
    <col min="3" max="3" width="17.5703125" style="4" customWidth="1"/>
    <col min="4" max="4" width="14.42578125" style="20" customWidth="1"/>
    <col min="5" max="5" width="80.140625" style="4" bestFit="1" customWidth="1"/>
    <col min="6" max="7" width="11.85546875" style="4" customWidth="1"/>
    <col min="8" max="8" width="17.140625" style="4" customWidth="1"/>
    <col min="9" max="9" width="59.5703125" style="4" customWidth="1"/>
    <col min="10" max="10" width="8" style="4" bestFit="1" customWidth="1"/>
    <col min="11" max="16384" width="9.140625" style="4"/>
  </cols>
  <sheetData>
    <row r="1" spans="2:11" ht="51" customHeight="1">
      <c r="B1" s="1" t="s">
        <v>589</v>
      </c>
      <c r="C1" s="25"/>
      <c r="D1" s="2"/>
      <c r="E1" s="3"/>
    </row>
    <row r="2" spans="2:11" customFormat="1" ht="18">
      <c r="B2" s="5"/>
      <c r="C2" s="6"/>
      <c r="D2" s="7"/>
      <c r="E2" s="8"/>
    </row>
    <row r="3" spans="2:11" ht="15" customHeight="1">
      <c r="B3" s="3"/>
      <c r="C3" s="3"/>
      <c r="D3" s="9"/>
      <c r="E3" s="10"/>
    </row>
    <row r="4" spans="2:11" s="14" customFormat="1" ht="45.75" thickBot="1">
      <c r="B4" s="11" t="s">
        <v>0</v>
      </c>
      <c r="C4" s="11" t="s">
        <v>1</v>
      </c>
      <c r="D4" s="12" t="s">
        <v>2</v>
      </c>
      <c r="E4" s="13" t="s">
        <v>3</v>
      </c>
      <c r="F4" s="23" t="s">
        <v>4</v>
      </c>
      <c r="G4" s="23" t="s">
        <v>590</v>
      </c>
      <c r="H4" s="23" t="s">
        <v>591</v>
      </c>
      <c r="I4" s="52" t="s">
        <v>5</v>
      </c>
      <c r="J4" s="53"/>
    </row>
    <row r="5" spans="2:11">
      <c r="B5" s="29" t="s">
        <v>9</v>
      </c>
      <c r="C5" s="30">
        <v>5411692113285</v>
      </c>
      <c r="D5" s="26">
        <v>3201683</v>
      </c>
      <c r="E5" s="27" t="s">
        <v>10</v>
      </c>
      <c r="F5" s="28">
        <v>408</v>
      </c>
      <c r="G5" s="28">
        <f t="shared" ref="G5:G66" si="0">ROUND(F5+(F5*H5),0)</f>
        <v>424</v>
      </c>
      <c r="H5" s="48">
        <v>3.7999999999999999E-2</v>
      </c>
      <c r="I5" s="32" t="s">
        <v>11</v>
      </c>
      <c r="J5" s="16"/>
      <c r="K5" s="18"/>
    </row>
    <row r="6" spans="2:11">
      <c r="B6" s="29" t="s">
        <v>9</v>
      </c>
      <c r="C6" s="30">
        <v>5411692113179</v>
      </c>
      <c r="D6" s="26">
        <v>3201684</v>
      </c>
      <c r="E6" s="27" t="s">
        <v>12</v>
      </c>
      <c r="F6" s="28">
        <v>496</v>
      </c>
      <c r="G6" s="28">
        <f t="shared" si="0"/>
        <v>515</v>
      </c>
      <c r="H6" s="48">
        <v>3.7999999999999999E-2</v>
      </c>
      <c r="I6" s="32" t="s">
        <v>11</v>
      </c>
      <c r="J6" s="16"/>
      <c r="K6" s="18"/>
    </row>
    <row r="7" spans="2:11">
      <c r="B7" s="29" t="s">
        <v>9</v>
      </c>
      <c r="C7" s="30">
        <v>5411692113186</v>
      </c>
      <c r="D7" s="26">
        <v>3201685</v>
      </c>
      <c r="E7" s="27" t="s">
        <v>13</v>
      </c>
      <c r="F7" s="28">
        <v>605</v>
      </c>
      <c r="G7" s="28">
        <f t="shared" si="0"/>
        <v>628</v>
      </c>
      <c r="H7" s="48">
        <v>3.7999999999999999E-2</v>
      </c>
      <c r="I7" s="32" t="s">
        <v>11</v>
      </c>
      <c r="J7" s="16"/>
      <c r="K7" s="18"/>
    </row>
    <row r="8" spans="2:11">
      <c r="B8" s="29" t="s">
        <v>9</v>
      </c>
      <c r="C8" s="30">
        <v>5411692113193</v>
      </c>
      <c r="D8" s="26">
        <v>3201686</v>
      </c>
      <c r="E8" s="27" t="s">
        <v>14</v>
      </c>
      <c r="F8" s="28">
        <v>673</v>
      </c>
      <c r="G8" s="28">
        <f t="shared" si="0"/>
        <v>699</v>
      </c>
      <c r="H8" s="48">
        <v>3.7999999999999999E-2</v>
      </c>
      <c r="I8" s="32" t="s">
        <v>11</v>
      </c>
      <c r="J8" s="16"/>
      <c r="K8" s="18"/>
    </row>
    <row r="9" spans="2:11">
      <c r="B9" s="29" t="s">
        <v>15</v>
      </c>
      <c r="C9" s="30">
        <v>5414849548985</v>
      </c>
      <c r="D9" s="26">
        <v>3100327</v>
      </c>
      <c r="E9" s="27" t="s">
        <v>16</v>
      </c>
      <c r="F9" s="28">
        <v>162</v>
      </c>
      <c r="G9" s="28">
        <f t="shared" si="0"/>
        <v>168</v>
      </c>
      <c r="H9" s="48">
        <v>3.7999999999999999E-2</v>
      </c>
      <c r="I9" s="33"/>
      <c r="J9" s="16"/>
      <c r="K9" s="18"/>
    </row>
    <row r="10" spans="2:11">
      <c r="B10" s="29" t="s">
        <v>15</v>
      </c>
      <c r="C10" s="30">
        <v>5414849548992</v>
      </c>
      <c r="D10" s="26">
        <v>3100332</v>
      </c>
      <c r="E10" s="27" t="s">
        <v>17</v>
      </c>
      <c r="F10" s="28">
        <v>177</v>
      </c>
      <c r="G10" s="28">
        <f t="shared" si="0"/>
        <v>184</v>
      </c>
      <c r="H10" s="48">
        <v>3.7999999999999999E-2</v>
      </c>
      <c r="I10" s="33"/>
      <c r="J10" s="16"/>
      <c r="K10" s="18"/>
    </row>
    <row r="11" spans="2:11">
      <c r="B11" s="29" t="s">
        <v>15</v>
      </c>
      <c r="C11" s="30">
        <v>5414849608313</v>
      </c>
      <c r="D11" s="26">
        <v>3100548</v>
      </c>
      <c r="E11" s="27" t="s">
        <v>18</v>
      </c>
      <c r="F11" s="28">
        <v>201</v>
      </c>
      <c r="G11" s="28">
        <f t="shared" si="0"/>
        <v>209</v>
      </c>
      <c r="H11" s="48">
        <v>3.7999999999999999E-2</v>
      </c>
      <c r="I11" s="33"/>
      <c r="J11" s="16"/>
      <c r="K11" s="18"/>
    </row>
    <row r="12" spans="2:11">
      <c r="B12" s="29" t="s">
        <v>15</v>
      </c>
      <c r="C12" s="30">
        <v>5414849549005</v>
      </c>
      <c r="D12" s="26">
        <v>3100337</v>
      </c>
      <c r="E12" s="27" t="s">
        <v>19</v>
      </c>
      <c r="F12" s="28">
        <v>205</v>
      </c>
      <c r="G12" s="28">
        <f t="shared" si="0"/>
        <v>213</v>
      </c>
      <c r="H12" s="48">
        <v>3.7999999999999999E-2</v>
      </c>
      <c r="I12" s="33"/>
      <c r="J12" s="16"/>
      <c r="K12" s="18"/>
    </row>
    <row r="13" spans="2:11">
      <c r="B13" s="29" t="s">
        <v>9</v>
      </c>
      <c r="C13" s="30">
        <v>5411692226152</v>
      </c>
      <c r="D13" s="26">
        <v>4018046</v>
      </c>
      <c r="E13" s="27" t="s">
        <v>20</v>
      </c>
      <c r="F13" s="28">
        <v>466</v>
      </c>
      <c r="G13" s="28">
        <f t="shared" si="0"/>
        <v>484</v>
      </c>
      <c r="H13" s="48">
        <v>3.7999999999999999E-2</v>
      </c>
      <c r="I13" s="31"/>
      <c r="J13" s="16"/>
      <c r="K13" s="18"/>
    </row>
    <row r="14" spans="2:11">
      <c r="B14" s="29" t="s">
        <v>9</v>
      </c>
      <c r="C14" s="30">
        <v>5411692226138</v>
      </c>
      <c r="D14" s="26">
        <v>4018047</v>
      </c>
      <c r="E14" s="27" t="s">
        <v>21</v>
      </c>
      <c r="F14" s="28">
        <v>568</v>
      </c>
      <c r="G14" s="28">
        <f t="shared" si="0"/>
        <v>590</v>
      </c>
      <c r="H14" s="48">
        <v>3.7999999999999999E-2</v>
      </c>
      <c r="I14" s="31"/>
      <c r="J14" s="16"/>
      <c r="K14" s="18"/>
    </row>
    <row r="15" spans="2:11">
      <c r="B15" s="29" t="s">
        <v>9</v>
      </c>
      <c r="C15" s="30">
        <v>5411692226121</v>
      </c>
      <c r="D15" s="26">
        <v>4018048</v>
      </c>
      <c r="E15" s="27" t="s">
        <v>22</v>
      </c>
      <c r="F15" s="28">
        <v>633</v>
      </c>
      <c r="G15" s="28">
        <f t="shared" si="0"/>
        <v>657</v>
      </c>
      <c r="H15" s="48">
        <v>3.7999999999999999E-2</v>
      </c>
      <c r="I15" s="31"/>
      <c r="J15" s="16"/>
      <c r="K15" s="18"/>
    </row>
    <row r="16" spans="2:11">
      <c r="B16" s="29" t="s">
        <v>15</v>
      </c>
      <c r="C16" s="30" t="s">
        <v>23</v>
      </c>
      <c r="D16" s="26">
        <v>3626360</v>
      </c>
      <c r="E16" s="27" t="s">
        <v>24</v>
      </c>
      <c r="F16" s="28">
        <v>345</v>
      </c>
      <c r="G16" s="28">
        <f t="shared" si="0"/>
        <v>358</v>
      </c>
      <c r="H16" s="48">
        <v>3.7999999999999999E-2</v>
      </c>
      <c r="I16" s="31"/>
      <c r="J16" s="16"/>
      <c r="K16" s="18"/>
    </row>
    <row r="17" spans="2:11">
      <c r="B17" s="29" t="s">
        <v>9</v>
      </c>
      <c r="C17" s="30">
        <v>5411692226107</v>
      </c>
      <c r="D17" s="26">
        <v>4018049</v>
      </c>
      <c r="E17" s="27" t="s">
        <v>25</v>
      </c>
      <c r="F17" s="28">
        <v>446</v>
      </c>
      <c r="G17" s="28">
        <f t="shared" si="0"/>
        <v>463</v>
      </c>
      <c r="H17" s="48">
        <v>3.7999999999999999E-2</v>
      </c>
      <c r="I17" s="31"/>
      <c r="J17" s="16"/>
      <c r="K17" s="18"/>
    </row>
    <row r="18" spans="2:11">
      <c r="B18" s="29" t="s">
        <v>9</v>
      </c>
      <c r="C18" s="30">
        <v>5411692226077</v>
      </c>
      <c r="D18" s="26">
        <v>4018050</v>
      </c>
      <c r="E18" s="27" t="s">
        <v>26</v>
      </c>
      <c r="F18" s="28">
        <v>520</v>
      </c>
      <c r="G18" s="28">
        <f t="shared" si="0"/>
        <v>540</v>
      </c>
      <c r="H18" s="48">
        <v>3.7999999999999999E-2</v>
      </c>
      <c r="I18" s="31"/>
      <c r="J18" s="16"/>
      <c r="K18" s="18"/>
    </row>
    <row r="19" spans="2:11">
      <c r="B19" s="29" t="s">
        <v>9</v>
      </c>
      <c r="C19" s="30">
        <v>5411692225995</v>
      </c>
      <c r="D19" s="26">
        <v>4018051</v>
      </c>
      <c r="E19" s="27" t="s">
        <v>27</v>
      </c>
      <c r="F19" s="28">
        <v>574</v>
      </c>
      <c r="G19" s="28">
        <f t="shared" si="0"/>
        <v>596</v>
      </c>
      <c r="H19" s="48">
        <v>3.7999999999999999E-2</v>
      </c>
      <c r="I19" s="31"/>
      <c r="J19" s="16"/>
      <c r="K19" s="18"/>
    </row>
    <row r="20" spans="2:11">
      <c r="B20" s="29" t="s">
        <v>9</v>
      </c>
      <c r="C20" s="30">
        <v>5411692225988</v>
      </c>
      <c r="D20" s="26">
        <v>4018052</v>
      </c>
      <c r="E20" s="27" t="s">
        <v>28</v>
      </c>
      <c r="F20" s="28">
        <v>325</v>
      </c>
      <c r="G20" s="28">
        <f t="shared" si="0"/>
        <v>337</v>
      </c>
      <c r="H20" s="48">
        <v>3.7999999999999999E-2</v>
      </c>
      <c r="I20" s="31"/>
      <c r="J20" s="16"/>
      <c r="K20" s="18"/>
    </row>
    <row r="21" spans="2:11">
      <c r="B21" s="29" t="s">
        <v>9</v>
      </c>
      <c r="C21" s="30">
        <v>5411692225971</v>
      </c>
      <c r="D21" s="26">
        <v>4018053</v>
      </c>
      <c r="E21" s="27" t="s">
        <v>29</v>
      </c>
      <c r="F21" s="28">
        <v>371</v>
      </c>
      <c r="G21" s="28">
        <f t="shared" si="0"/>
        <v>385</v>
      </c>
      <c r="H21" s="48">
        <v>3.7999999999999999E-2</v>
      </c>
      <c r="I21" s="31"/>
      <c r="J21" s="16"/>
      <c r="K21" s="18"/>
    </row>
    <row r="22" spans="2:11">
      <c r="B22" s="29" t="s">
        <v>9</v>
      </c>
      <c r="C22" s="30">
        <v>5411692225964</v>
      </c>
      <c r="D22" s="26">
        <v>4018054</v>
      </c>
      <c r="E22" s="27" t="s">
        <v>30</v>
      </c>
      <c r="F22" s="28">
        <v>405</v>
      </c>
      <c r="G22" s="28">
        <f t="shared" si="0"/>
        <v>420</v>
      </c>
      <c r="H22" s="48">
        <v>3.7999999999999999E-2</v>
      </c>
      <c r="I22" s="31"/>
      <c r="J22" s="16"/>
      <c r="K22" s="18"/>
    </row>
    <row r="23" spans="2:11">
      <c r="B23" s="29" t="s">
        <v>9</v>
      </c>
      <c r="C23" s="30">
        <v>5411692225926</v>
      </c>
      <c r="D23" s="26">
        <v>4018058</v>
      </c>
      <c r="E23" s="27" t="s">
        <v>31</v>
      </c>
      <c r="F23" s="28">
        <v>248</v>
      </c>
      <c r="G23" s="28">
        <f t="shared" si="0"/>
        <v>257</v>
      </c>
      <c r="H23" s="48">
        <v>3.7999999999999999E-2</v>
      </c>
      <c r="I23" s="31"/>
      <c r="J23" s="16"/>
      <c r="K23" s="18"/>
    </row>
    <row r="24" spans="2:11">
      <c r="B24" s="29" t="s">
        <v>9</v>
      </c>
      <c r="C24" s="30">
        <v>5411692225919</v>
      </c>
      <c r="D24" s="26">
        <v>4018059</v>
      </c>
      <c r="E24" s="27" t="s">
        <v>32</v>
      </c>
      <c r="F24" s="28">
        <v>290</v>
      </c>
      <c r="G24" s="28">
        <f t="shared" si="0"/>
        <v>301</v>
      </c>
      <c r="H24" s="48">
        <v>3.7999999999999999E-2</v>
      </c>
      <c r="I24" s="31"/>
      <c r="J24" s="16"/>
      <c r="K24" s="18"/>
    </row>
    <row r="25" spans="2:11">
      <c r="B25" s="29" t="s">
        <v>9</v>
      </c>
      <c r="C25" s="30">
        <v>5411692225889</v>
      </c>
      <c r="D25" s="26">
        <v>4018060</v>
      </c>
      <c r="E25" s="27" t="s">
        <v>33</v>
      </c>
      <c r="F25" s="28">
        <v>317</v>
      </c>
      <c r="G25" s="28">
        <f t="shared" si="0"/>
        <v>329</v>
      </c>
      <c r="H25" s="48">
        <v>3.7999999999999999E-2</v>
      </c>
      <c r="I25" s="31"/>
      <c r="J25" s="16"/>
      <c r="K25" s="18"/>
    </row>
    <row r="26" spans="2:11">
      <c r="B26" s="29" t="s">
        <v>9</v>
      </c>
      <c r="C26" s="30">
        <v>5411692119331</v>
      </c>
      <c r="D26" s="26">
        <v>3626465</v>
      </c>
      <c r="E26" s="27" t="s">
        <v>34</v>
      </c>
      <c r="F26" s="28">
        <v>307</v>
      </c>
      <c r="G26" s="28">
        <f t="shared" si="0"/>
        <v>319</v>
      </c>
      <c r="H26" s="48">
        <v>3.7999999999999999E-2</v>
      </c>
      <c r="I26" s="31"/>
      <c r="J26" s="16"/>
      <c r="K26" s="18"/>
    </row>
    <row r="27" spans="2:11">
      <c r="B27" s="29" t="s">
        <v>9</v>
      </c>
      <c r="C27" s="30">
        <v>5414849772014</v>
      </c>
      <c r="D27" s="26">
        <v>3201998</v>
      </c>
      <c r="E27" s="27" t="s">
        <v>35</v>
      </c>
      <c r="F27" s="28">
        <v>340</v>
      </c>
      <c r="G27" s="28">
        <f t="shared" si="0"/>
        <v>353</v>
      </c>
      <c r="H27" s="48">
        <v>3.7999999999999999E-2</v>
      </c>
      <c r="I27" s="33"/>
      <c r="J27" s="16"/>
      <c r="K27" s="18"/>
    </row>
    <row r="28" spans="2:11">
      <c r="B28" s="29" t="s">
        <v>9</v>
      </c>
      <c r="C28" s="30">
        <v>5414849772021</v>
      </c>
      <c r="D28" s="26">
        <v>3201999</v>
      </c>
      <c r="E28" s="27" t="s">
        <v>36</v>
      </c>
      <c r="F28" s="28">
        <v>376</v>
      </c>
      <c r="G28" s="28">
        <f t="shared" si="0"/>
        <v>390</v>
      </c>
      <c r="H28" s="48">
        <v>3.7999999999999999E-2</v>
      </c>
      <c r="I28" s="33"/>
      <c r="J28" s="16"/>
      <c r="K28" s="18"/>
    </row>
    <row r="29" spans="2:11">
      <c r="B29" s="29" t="s">
        <v>9</v>
      </c>
      <c r="C29" s="30">
        <v>5414849788619</v>
      </c>
      <c r="D29" s="26">
        <v>3201955</v>
      </c>
      <c r="E29" s="27" t="s">
        <v>37</v>
      </c>
      <c r="F29" s="28">
        <v>290</v>
      </c>
      <c r="G29" s="28">
        <f t="shared" si="0"/>
        <v>301</v>
      </c>
      <c r="H29" s="48">
        <v>3.7999999999999999E-2</v>
      </c>
      <c r="I29" s="33"/>
      <c r="J29" s="16"/>
      <c r="K29" s="18"/>
    </row>
    <row r="30" spans="2:11">
      <c r="B30" s="29" t="s">
        <v>9</v>
      </c>
      <c r="C30" s="30">
        <v>5414849788596</v>
      </c>
      <c r="D30" s="26">
        <v>3201952</v>
      </c>
      <c r="E30" s="27" t="s">
        <v>38</v>
      </c>
      <c r="F30" s="28">
        <v>317</v>
      </c>
      <c r="G30" s="28">
        <f t="shared" si="0"/>
        <v>329</v>
      </c>
      <c r="H30" s="48">
        <v>3.7999999999999999E-2</v>
      </c>
      <c r="I30" s="33"/>
      <c r="J30" s="16"/>
      <c r="K30" s="18"/>
    </row>
    <row r="31" spans="2:11">
      <c r="B31" s="29" t="s">
        <v>9</v>
      </c>
      <c r="C31" s="30">
        <v>5414849787032</v>
      </c>
      <c r="D31" s="26">
        <v>3201926</v>
      </c>
      <c r="E31" s="27" t="s">
        <v>39</v>
      </c>
      <c r="F31" s="28">
        <v>199</v>
      </c>
      <c r="G31" s="28">
        <f t="shared" si="0"/>
        <v>207</v>
      </c>
      <c r="H31" s="48">
        <v>3.7999999999999999E-2</v>
      </c>
      <c r="I31" s="33"/>
      <c r="J31" s="16"/>
      <c r="K31" s="18"/>
    </row>
    <row r="32" spans="2:11">
      <c r="B32" s="29" t="s">
        <v>9</v>
      </c>
      <c r="C32" s="30">
        <v>5414849787049</v>
      </c>
      <c r="D32" s="26">
        <v>3201927</v>
      </c>
      <c r="E32" s="27" t="s">
        <v>40</v>
      </c>
      <c r="F32" s="28">
        <v>233</v>
      </c>
      <c r="G32" s="28">
        <f t="shared" si="0"/>
        <v>242</v>
      </c>
      <c r="H32" s="48">
        <v>3.7999999999999999E-2</v>
      </c>
      <c r="I32" s="33"/>
      <c r="J32" s="16"/>
      <c r="K32" s="18"/>
    </row>
    <row r="33" spans="2:11">
      <c r="B33" s="29" t="s">
        <v>9</v>
      </c>
      <c r="C33" s="30">
        <v>5414849787056</v>
      </c>
      <c r="D33" s="26">
        <v>3201928</v>
      </c>
      <c r="E33" s="27" t="s">
        <v>41</v>
      </c>
      <c r="F33" s="28">
        <v>256</v>
      </c>
      <c r="G33" s="28">
        <f t="shared" si="0"/>
        <v>266</v>
      </c>
      <c r="H33" s="48">
        <v>3.7999999999999999E-2</v>
      </c>
      <c r="I33" s="33"/>
      <c r="J33" s="16"/>
      <c r="K33" s="18"/>
    </row>
    <row r="34" spans="2:11">
      <c r="B34" s="29" t="s">
        <v>9</v>
      </c>
      <c r="C34" s="30">
        <v>5414849787063</v>
      </c>
      <c r="D34" s="26">
        <v>3201929</v>
      </c>
      <c r="E34" s="27" t="s">
        <v>42</v>
      </c>
      <c r="F34" s="28">
        <v>233</v>
      </c>
      <c r="G34" s="28">
        <f t="shared" si="0"/>
        <v>242</v>
      </c>
      <c r="H34" s="48">
        <v>3.7999999999999999E-2</v>
      </c>
      <c r="I34" s="33"/>
      <c r="J34" s="16"/>
      <c r="K34" s="18"/>
    </row>
    <row r="35" spans="2:11">
      <c r="B35" s="29" t="s">
        <v>9</v>
      </c>
      <c r="C35" s="30">
        <v>5414849787070</v>
      </c>
      <c r="D35" s="26">
        <v>3201930</v>
      </c>
      <c r="E35" s="27" t="s">
        <v>43</v>
      </c>
      <c r="F35" s="28">
        <v>256</v>
      </c>
      <c r="G35" s="28">
        <f t="shared" si="0"/>
        <v>266</v>
      </c>
      <c r="H35" s="48">
        <v>3.7999999999999999E-2</v>
      </c>
      <c r="I35" s="33"/>
      <c r="J35" s="16"/>
      <c r="K35" s="18"/>
    </row>
    <row r="36" spans="2:11">
      <c r="B36" s="29" t="s">
        <v>9</v>
      </c>
      <c r="C36" s="30">
        <v>5414849786974</v>
      </c>
      <c r="D36" s="26">
        <v>3201908</v>
      </c>
      <c r="E36" s="27" t="s">
        <v>44</v>
      </c>
      <c r="F36" s="28">
        <v>322</v>
      </c>
      <c r="G36" s="28">
        <f t="shared" si="0"/>
        <v>334</v>
      </c>
      <c r="H36" s="48">
        <v>3.7999999999999999E-2</v>
      </c>
      <c r="I36" s="33"/>
      <c r="J36" s="16"/>
      <c r="K36" s="18"/>
    </row>
    <row r="37" spans="2:11">
      <c r="B37" s="29" t="s">
        <v>9</v>
      </c>
      <c r="C37" s="30">
        <v>5414849786981</v>
      </c>
      <c r="D37" s="26">
        <v>3201909</v>
      </c>
      <c r="E37" s="27" t="s">
        <v>45</v>
      </c>
      <c r="F37" s="28">
        <v>356</v>
      </c>
      <c r="G37" s="28">
        <f t="shared" si="0"/>
        <v>370</v>
      </c>
      <c r="H37" s="48">
        <v>3.7999999999999999E-2</v>
      </c>
      <c r="I37" s="33"/>
      <c r="J37" s="16"/>
      <c r="K37" s="18"/>
    </row>
    <row r="38" spans="2:11">
      <c r="B38" s="29" t="s">
        <v>46</v>
      </c>
      <c r="C38" s="30">
        <v>5414849703803</v>
      </c>
      <c r="D38" s="26">
        <v>3060650</v>
      </c>
      <c r="E38" s="27" t="s">
        <v>47</v>
      </c>
      <c r="F38" s="28">
        <v>708</v>
      </c>
      <c r="G38" s="28">
        <f t="shared" si="0"/>
        <v>735</v>
      </c>
      <c r="H38" s="48">
        <v>3.7999999999999999E-2</v>
      </c>
      <c r="I38" s="33"/>
      <c r="J38" s="16"/>
      <c r="K38" s="18"/>
    </row>
    <row r="39" spans="2:11">
      <c r="B39" s="29" t="s">
        <v>46</v>
      </c>
      <c r="C39" s="30">
        <v>5414849703797</v>
      </c>
      <c r="D39" s="26">
        <v>3060651</v>
      </c>
      <c r="E39" s="27" t="s">
        <v>48</v>
      </c>
      <c r="F39" s="28">
        <v>839</v>
      </c>
      <c r="G39" s="28">
        <f t="shared" si="0"/>
        <v>871</v>
      </c>
      <c r="H39" s="48">
        <v>3.7999999999999999E-2</v>
      </c>
      <c r="I39" s="33"/>
      <c r="J39" s="16"/>
      <c r="K39" s="18"/>
    </row>
    <row r="40" spans="2:11">
      <c r="B40" s="29" t="s">
        <v>46</v>
      </c>
      <c r="C40" s="30">
        <v>5414849549012</v>
      </c>
      <c r="D40" s="26">
        <v>3000324</v>
      </c>
      <c r="E40" s="27" t="s">
        <v>49</v>
      </c>
      <c r="F40" s="28">
        <v>565</v>
      </c>
      <c r="G40" s="28">
        <f t="shared" si="0"/>
        <v>586</v>
      </c>
      <c r="H40" s="48">
        <v>3.7999999999999999E-2</v>
      </c>
      <c r="I40" s="33"/>
      <c r="J40" s="16"/>
      <c r="K40" s="18"/>
    </row>
    <row r="41" spans="2:11">
      <c r="B41" s="29" t="s">
        <v>46</v>
      </c>
      <c r="C41" s="30">
        <v>5414849550971</v>
      </c>
      <c r="D41" s="26">
        <v>3000349</v>
      </c>
      <c r="E41" s="27" t="s">
        <v>50</v>
      </c>
      <c r="F41" s="28">
        <v>648</v>
      </c>
      <c r="G41" s="28">
        <f t="shared" si="0"/>
        <v>673</v>
      </c>
      <c r="H41" s="48">
        <v>3.7999999999999999E-2</v>
      </c>
      <c r="I41" s="33"/>
      <c r="J41" s="16"/>
      <c r="K41" s="18"/>
    </row>
    <row r="42" spans="2:11">
      <c r="B42" s="29" t="s">
        <v>46</v>
      </c>
      <c r="C42" s="30">
        <v>5414849833562</v>
      </c>
      <c r="D42" s="26">
        <v>3000685</v>
      </c>
      <c r="E42" s="27" t="s">
        <v>51</v>
      </c>
      <c r="F42" s="28">
        <v>960</v>
      </c>
      <c r="G42" s="28">
        <f t="shared" si="0"/>
        <v>996</v>
      </c>
      <c r="H42" s="48">
        <v>3.7999999999999999E-2</v>
      </c>
      <c r="I42" s="33"/>
      <c r="J42" s="16"/>
      <c r="K42" s="18"/>
    </row>
    <row r="43" spans="2:11">
      <c r="B43" s="29" t="s">
        <v>46</v>
      </c>
      <c r="C43" s="30">
        <v>5414849550995</v>
      </c>
      <c r="D43" s="26">
        <v>3000361</v>
      </c>
      <c r="E43" s="27" t="s">
        <v>52</v>
      </c>
      <c r="F43" s="28">
        <v>486</v>
      </c>
      <c r="G43" s="28">
        <f t="shared" si="0"/>
        <v>504</v>
      </c>
      <c r="H43" s="48">
        <v>3.7999999999999999E-2</v>
      </c>
      <c r="I43" s="33"/>
      <c r="J43" s="16"/>
      <c r="K43" s="18"/>
    </row>
    <row r="44" spans="2:11">
      <c r="B44" s="29" t="s">
        <v>46</v>
      </c>
      <c r="C44" s="30">
        <v>5414849571051</v>
      </c>
      <c r="D44" s="26">
        <v>3000362</v>
      </c>
      <c r="E44" s="27" t="s">
        <v>53</v>
      </c>
      <c r="F44" s="28">
        <v>536</v>
      </c>
      <c r="G44" s="28">
        <f t="shared" si="0"/>
        <v>556</v>
      </c>
      <c r="H44" s="48">
        <v>3.7999999999999999E-2</v>
      </c>
      <c r="I44" s="33"/>
      <c r="J44" s="16"/>
      <c r="K44" s="18"/>
    </row>
    <row r="45" spans="2:11">
      <c r="B45" s="29" t="s">
        <v>46</v>
      </c>
      <c r="C45" s="30">
        <v>5414849698994</v>
      </c>
      <c r="D45" s="26">
        <v>3010896</v>
      </c>
      <c r="E45" s="27" t="s">
        <v>54</v>
      </c>
      <c r="F45" s="28">
        <v>486</v>
      </c>
      <c r="G45" s="28">
        <f t="shared" si="0"/>
        <v>504</v>
      </c>
      <c r="H45" s="48">
        <v>3.7999999999999999E-2</v>
      </c>
      <c r="I45" s="33"/>
      <c r="J45" s="16"/>
      <c r="K45" s="18"/>
    </row>
    <row r="46" spans="2:11">
      <c r="B46" s="29" t="s">
        <v>46</v>
      </c>
      <c r="C46" s="30">
        <v>5414849699038</v>
      </c>
      <c r="D46" s="26">
        <v>3010900</v>
      </c>
      <c r="E46" s="27" t="s">
        <v>55</v>
      </c>
      <c r="F46" s="28">
        <v>536</v>
      </c>
      <c r="G46" s="28">
        <f t="shared" si="0"/>
        <v>556</v>
      </c>
      <c r="H46" s="48">
        <v>3.7999999999999999E-2</v>
      </c>
      <c r="I46" s="33"/>
      <c r="J46" s="16"/>
      <c r="K46" s="18"/>
    </row>
    <row r="47" spans="2:11">
      <c r="B47" s="29" t="s">
        <v>46</v>
      </c>
      <c r="C47" s="30">
        <v>5414849700406</v>
      </c>
      <c r="D47" s="26">
        <v>3070544</v>
      </c>
      <c r="E47" s="27" t="s">
        <v>56</v>
      </c>
      <c r="F47" s="28">
        <v>2100</v>
      </c>
      <c r="G47" s="28">
        <f t="shared" si="0"/>
        <v>2180</v>
      </c>
      <c r="H47" s="48">
        <v>3.7999999999999999E-2</v>
      </c>
      <c r="I47" s="33"/>
      <c r="J47" s="16"/>
      <c r="K47" s="18"/>
    </row>
    <row r="48" spans="2:11">
      <c r="B48" s="29" t="s">
        <v>57</v>
      </c>
      <c r="C48" s="30">
        <v>5411692064402</v>
      </c>
      <c r="D48" s="26">
        <v>3208135</v>
      </c>
      <c r="E48" s="27" t="s">
        <v>58</v>
      </c>
      <c r="F48" s="28">
        <v>64</v>
      </c>
      <c r="G48" s="28">
        <f t="shared" si="0"/>
        <v>64</v>
      </c>
      <c r="H48" s="48">
        <v>0</v>
      </c>
      <c r="I48" s="33"/>
      <c r="J48" s="16"/>
      <c r="K48" s="18"/>
    </row>
    <row r="49" spans="2:11">
      <c r="B49" s="29" t="s">
        <v>57</v>
      </c>
      <c r="C49" s="30">
        <v>5411692075804</v>
      </c>
      <c r="D49" s="26">
        <v>3855015</v>
      </c>
      <c r="E49" s="27" t="s">
        <v>59</v>
      </c>
      <c r="F49" s="28">
        <v>34</v>
      </c>
      <c r="G49" s="28">
        <f t="shared" si="0"/>
        <v>34</v>
      </c>
      <c r="H49" s="48">
        <v>0</v>
      </c>
      <c r="I49" s="33"/>
      <c r="J49" s="16"/>
      <c r="K49" s="18"/>
    </row>
    <row r="50" spans="2:11">
      <c r="B50" s="29" t="s">
        <v>57</v>
      </c>
      <c r="C50" s="30">
        <v>5414849702745</v>
      </c>
      <c r="D50" s="26">
        <v>3629055</v>
      </c>
      <c r="E50" s="27" t="s">
        <v>61</v>
      </c>
      <c r="F50" s="28">
        <v>70</v>
      </c>
      <c r="G50" s="28">
        <f t="shared" si="0"/>
        <v>70</v>
      </c>
      <c r="H50" s="48">
        <v>0</v>
      </c>
      <c r="I50" s="33"/>
      <c r="J50" s="16"/>
      <c r="K50" s="18"/>
    </row>
    <row r="51" spans="2:11">
      <c r="B51" s="29" t="s">
        <v>57</v>
      </c>
      <c r="C51" s="30">
        <v>5411692171285</v>
      </c>
      <c r="D51" s="26">
        <v>4090003</v>
      </c>
      <c r="E51" s="27" t="s">
        <v>62</v>
      </c>
      <c r="F51" s="28">
        <v>46</v>
      </c>
      <c r="G51" s="28">
        <f t="shared" si="0"/>
        <v>46</v>
      </c>
      <c r="H51" s="48">
        <v>0</v>
      </c>
      <c r="I51" s="33"/>
      <c r="J51" s="16"/>
      <c r="K51" s="18"/>
    </row>
    <row r="52" spans="2:11">
      <c r="B52" s="29" t="s">
        <v>63</v>
      </c>
      <c r="C52" s="30">
        <v>6927828020826</v>
      </c>
      <c r="D52" s="26">
        <v>3632435</v>
      </c>
      <c r="E52" s="27" t="s">
        <v>64</v>
      </c>
      <c r="F52" s="28">
        <v>520</v>
      </c>
      <c r="G52" s="28">
        <f t="shared" si="0"/>
        <v>540</v>
      </c>
      <c r="H52" s="48">
        <v>3.7999999999999999E-2</v>
      </c>
      <c r="I52" s="33" t="s">
        <v>655</v>
      </c>
      <c r="J52" s="17">
        <f>G52+$G$63</f>
        <v>577</v>
      </c>
      <c r="K52" s="18"/>
    </row>
    <row r="53" spans="2:11">
      <c r="B53" s="29" t="s">
        <v>63</v>
      </c>
      <c r="C53" s="30">
        <v>6927828020833</v>
      </c>
      <c r="D53" s="26">
        <v>3632436</v>
      </c>
      <c r="E53" s="27" t="s">
        <v>65</v>
      </c>
      <c r="F53" s="28">
        <v>520</v>
      </c>
      <c r="G53" s="28">
        <f t="shared" si="0"/>
        <v>540</v>
      </c>
      <c r="H53" s="48">
        <v>3.7999999999999999E-2</v>
      </c>
      <c r="I53" s="33" t="s">
        <v>655</v>
      </c>
      <c r="J53" s="17">
        <f t="shared" ref="J53:J55" si="1">G53+$G$63</f>
        <v>577</v>
      </c>
      <c r="K53" s="18"/>
    </row>
    <row r="54" spans="2:11">
      <c r="B54" s="29" t="s">
        <v>63</v>
      </c>
      <c r="C54" s="30">
        <v>6927828020840</v>
      </c>
      <c r="D54" s="26">
        <v>3632437</v>
      </c>
      <c r="E54" s="27" t="s">
        <v>66</v>
      </c>
      <c r="F54" s="28">
        <v>596</v>
      </c>
      <c r="G54" s="28">
        <f t="shared" si="0"/>
        <v>619</v>
      </c>
      <c r="H54" s="48">
        <v>3.7999999999999999E-2</v>
      </c>
      <c r="I54" s="33" t="s">
        <v>655</v>
      </c>
      <c r="J54" s="17">
        <f t="shared" si="1"/>
        <v>656</v>
      </c>
      <c r="K54" s="18"/>
    </row>
    <row r="55" spans="2:11">
      <c r="B55" s="29" t="s">
        <v>63</v>
      </c>
      <c r="C55" s="30">
        <v>6927828020857</v>
      </c>
      <c r="D55" s="26">
        <v>3632438</v>
      </c>
      <c r="E55" s="27" t="s">
        <v>67</v>
      </c>
      <c r="F55" s="28">
        <v>596</v>
      </c>
      <c r="G55" s="28">
        <f t="shared" si="0"/>
        <v>619</v>
      </c>
      <c r="H55" s="48">
        <v>3.7999999999999999E-2</v>
      </c>
      <c r="I55" s="33" t="s">
        <v>655</v>
      </c>
      <c r="J55" s="17">
        <f t="shared" si="1"/>
        <v>656</v>
      </c>
      <c r="K55" s="18"/>
    </row>
    <row r="56" spans="2:11">
      <c r="B56" s="29" t="s">
        <v>68</v>
      </c>
      <c r="C56" s="30">
        <v>6927828020864</v>
      </c>
      <c r="D56" s="26">
        <v>3632439</v>
      </c>
      <c r="E56" s="27" t="s">
        <v>69</v>
      </c>
      <c r="F56" s="28">
        <v>465</v>
      </c>
      <c r="G56" s="28">
        <f t="shared" si="0"/>
        <v>483</v>
      </c>
      <c r="H56" s="48">
        <v>3.7999999999999999E-2</v>
      </c>
      <c r="I56" s="33"/>
      <c r="J56" s="16"/>
      <c r="K56" s="18"/>
    </row>
    <row r="57" spans="2:11">
      <c r="B57" s="29" t="s">
        <v>68</v>
      </c>
      <c r="C57" s="30">
        <v>6927828020871</v>
      </c>
      <c r="D57" s="26">
        <v>3632440</v>
      </c>
      <c r="E57" s="27" t="s">
        <v>70</v>
      </c>
      <c r="F57" s="28">
        <v>465</v>
      </c>
      <c r="G57" s="28">
        <f t="shared" si="0"/>
        <v>483</v>
      </c>
      <c r="H57" s="48">
        <v>3.7999999999999999E-2</v>
      </c>
      <c r="I57" s="33"/>
      <c r="J57" s="16"/>
      <c r="K57" s="18"/>
    </row>
    <row r="58" spans="2:11">
      <c r="B58" s="29" t="s">
        <v>68</v>
      </c>
      <c r="C58" s="30">
        <v>6927828020888</v>
      </c>
      <c r="D58" s="26">
        <v>3632441</v>
      </c>
      <c r="E58" s="27" t="s">
        <v>71</v>
      </c>
      <c r="F58" s="28">
        <v>537</v>
      </c>
      <c r="G58" s="28">
        <f t="shared" si="0"/>
        <v>557</v>
      </c>
      <c r="H58" s="48">
        <v>3.7999999999999999E-2</v>
      </c>
      <c r="I58" s="33"/>
      <c r="J58" s="16"/>
      <c r="K58" s="18"/>
    </row>
    <row r="59" spans="2:11">
      <c r="B59" s="29" t="s">
        <v>68</v>
      </c>
      <c r="C59" s="30">
        <v>6927828020895</v>
      </c>
      <c r="D59" s="26">
        <v>3632442</v>
      </c>
      <c r="E59" s="27" t="s">
        <v>72</v>
      </c>
      <c r="F59" s="28">
        <v>537</v>
      </c>
      <c r="G59" s="28">
        <f t="shared" si="0"/>
        <v>557</v>
      </c>
      <c r="H59" s="48">
        <v>3.7999999999999999E-2</v>
      </c>
      <c r="I59" s="33"/>
      <c r="J59" s="16"/>
      <c r="K59" s="18"/>
    </row>
    <row r="60" spans="2:11">
      <c r="B60" s="29" t="s">
        <v>73</v>
      </c>
      <c r="C60" s="30">
        <v>6927828023902</v>
      </c>
      <c r="D60" s="26">
        <v>4332009</v>
      </c>
      <c r="E60" s="27" t="s">
        <v>650</v>
      </c>
      <c r="F60" s="28">
        <v>359</v>
      </c>
      <c r="G60" s="28">
        <f t="shared" si="0"/>
        <v>359</v>
      </c>
      <c r="H60" s="48">
        <v>0</v>
      </c>
      <c r="I60" s="31" t="s">
        <v>652</v>
      </c>
      <c r="J60" s="16"/>
      <c r="K60" s="18"/>
    </row>
    <row r="61" spans="2:11">
      <c r="B61" s="29" t="s">
        <v>73</v>
      </c>
      <c r="C61" s="30">
        <v>6927828023919</v>
      </c>
      <c r="D61" s="26">
        <v>4332010</v>
      </c>
      <c r="E61" s="27" t="s">
        <v>651</v>
      </c>
      <c r="F61" s="28">
        <v>359</v>
      </c>
      <c r="G61" s="28">
        <f t="shared" si="0"/>
        <v>359</v>
      </c>
      <c r="H61" s="48">
        <v>0</v>
      </c>
      <c r="I61" s="31" t="s">
        <v>653</v>
      </c>
      <c r="J61" s="16"/>
      <c r="K61" s="18"/>
    </row>
    <row r="62" spans="2:11">
      <c r="B62" s="29" t="s">
        <v>74</v>
      </c>
      <c r="C62" s="30">
        <v>5414849386709</v>
      </c>
      <c r="D62" s="26">
        <v>3632077</v>
      </c>
      <c r="E62" s="27" t="s">
        <v>75</v>
      </c>
      <c r="F62" s="28">
        <v>211</v>
      </c>
      <c r="G62" s="28">
        <f t="shared" si="0"/>
        <v>211</v>
      </c>
      <c r="H62" s="48">
        <v>0</v>
      </c>
      <c r="I62" s="33"/>
      <c r="J62" s="16"/>
      <c r="K62" s="18"/>
    </row>
    <row r="63" spans="2:11">
      <c r="B63" s="29" t="s">
        <v>74</v>
      </c>
      <c r="C63" s="30">
        <v>5414849652279</v>
      </c>
      <c r="D63" s="26">
        <v>3319048</v>
      </c>
      <c r="E63" s="27" t="s">
        <v>76</v>
      </c>
      <c r="F63" s="28">
        <v>37</v>
      </c>
      <c r="G63" s="28">
        <f t="shared" si="0"/>
        <v>37</v>
      </c>
      <c r="H63" s="48">
        <v>0</v>
      </c>
      <c r="I63" s="33"/>
      <c r="J63" s="16"/>
      <c r="K63" s="18"/>
    </row>
    <row r="64" spans="2:11">
      <c r="B64" s="29" t="s">
        <v>74</v>
      </c>
      <c r="C64" s="30">
        <v>5411692526719</v>
      </c>
      <c r="D64" s="26">
        <v>3318003</v>
      </c>
      <c r="E64" s="27" t="s">
        <v>588</v>
      </c>
      <c r="F64" s="45">
        <v>27.500000000000004</v>
      </c>
      <c r="G64" s="28">
        <f t="shared" si="0"/>
        <v>28</v>
      </c>
      <c r="H64" s="49">
        <v>0</v>
      </c>
      <c r="I64" s="46"/>
      <c r="J64" s="16"/>
      <c r="K64" s="18"/>
    </row>
    <row r="65" spans="2:11">
      <c r="B65" s="29" t="s">
        <v>74</v>
      </c>
      <c r="C65" s="30">
        <v>5411692526696</v>
      </c>
      <c r="D65" s="26">
        <v>3318005</v>
      </c>
      <c r="E65" s="27" t="s">
        <v>77</v>
      </c>
      <c r="F65" s="28">
        <v>34</v>
      </c>
      <c r="G65" s="28">
        <f t="shared" si="0"/>
        <v>34</v>
      </c>
      <c r="H65" s="48">
        <v>0</v>
      </c>
      <c r="I65" s="33"/>
      <c r="J65" s="16"/>
      <c r="K65" s="18"/>
    </row>
    <row r="66" spans="2:11">
      <c r="B66" s="29" t="s">
        <v>74</v>
      </c>
      <c r="C66" s="30">
        <v>5411692526405</v>
      </c>
      <c r="D66" s="26">
        <v>3318034</v>
      </c>
      <c r="E66" s="27" t="s">
        <v>78</v>
      </c>
      <c r="F66" s="28">
        <v>35</v>
      </c>
      <c r="G66" s="28">
        <f t="shared" si="0"/>
        <v>35</v>
      </c>
      <c r="H66" s="48">
        <v>0</v>
      </c>
      <c r="I66" s="33"/>
      <c r="J66" s="16"/>
      <c r="K66" s="18"/>
    </row>
    <row r="67" spans="2:11">
      <c r="B67" s="29" t="s">
        <v>74</v>
      </c>
      <c r="C67" s="30">
        <v>5411692526511</v>
      </c>
      <c r="D67" s="26">
        <v>3318023</v>
      </c>
      <c r="E67" s="27" t="s">
        <v>79</v>
      </c>
      <c r="F67" s="28">
        <v>21</v>
      </c>
      <c r="G67" s="28">
        <f t="shared" ref="G67:G130" si="2">ROUND(F67+(F67*H67),0)</f>
        <v>21</v>
      </c>
      <c r="H67" s="48">
        <v>0</v>
      </c>
      <c r="I67" s="33"/>
      <c r="J67" s="16"/>
      <c r="K67" s="18"/>
    </row>
    <row r="68" spans="2:11">
      <c r="B68" s="29" t="s">
        <v>80</v>
      </c>
      <c r="C68" s="30">
        <v>5411692526511</v>
      </c>
      <c r="D68" s="26">
        <v>3318023</v>
      </c>
      <c r="E68" s="27" t="s">
        <v>81</v>
      </c>
      <c r="F68" s="28">
        <v>21</v>
      </c>
      <c r="G68" s="28">
        <f t="shared" si="2"/>
        <v>21</v>
      </c>
      <c r="H68" s="48">
        <v>0</v>
      </c>
      <c r="I68" s="33"/>
      <c r="J68" s="16"/>
      <c r="K68" s="18"/>
    </row>
    <row r="69" spans="2:11">
      <c r="B69" s="29" t="s">
        <v>82</v>
      </c>
      <c r="C69" s="30">
        <v>5414849985780</v>
      </c>
      <c r="D69" s="26">
        <v>3211165</v>
      </c>
      <c r="E69" s="27" t="s">
        <v>83</v>
      </c>
      <c r="F69" s="28">
        <v>1442</v>
      </c>
      <c r="G69" s="28">
        <f t="shared" si="2"/>
        <v>1497</v>
      </c>
      <c r="H69" s="48">
        <v>3.7999999999999999E-2</v>
      </c>
      <c r="I69" s="33"/>
      <c r="J69" s="16"/>
      <c r="K69" s="18"/>
    </row>
    <row r="70" spans="2:11">
      <c r="B70" s="29" t="s">
        <v>82</v>
      </c>
      <c r="C70" s="30">
        <v>5414849985797</v>
      </c>
      <c r="D70" s="26">
        <v>3211166</v>
      </c>
      <c r="E70" s="27" t="s">
        <v>84</v>
      </c>
      <c r="F70" s="28">
        <v>1601</v>
      </c>
      <c r="G70" s="28">
        <f t="shared" si="2"/>
        <v>1662</v>
      </c>
      <c r="H70" s="48">
        <v>3.7999999999999999E-2</v>
      </c>
      <c r="I70" s="33"/>
      <c r="J70" s="16"/>
      <c r="K70" s="18"/>
    </row>
    <row r="71" spans="2:11">
      <c r="B71" s="29" t="s">
        <v>82</v>
      </c>
      <c r="C71" s="30">
        <v>5414849824546</v>
      </c>
      <c r="D71" s="26">
        <v>3211118</v>
      </c>
      <c r="E71" s="27" t="s">
        <v>85</v>
      </c>
      <c r="F71" s="28">
        <v>3806</v>
      </c>
      <c r="G71" s="28">
        <f t="shared" si="2"/>
        <v>3951</v>
      </c>
      <c r="H71" s="48">
        <v>3.7999999999999999E-2</v>
      </c>
      <c r="I71" s="33"/>
      <c r="J71" s="16"/>
      <c r="K71" s="18"/>
    </row>
    <row r="72" spans="2:11">
      <c r="B72" s="29" t="s">
        <v>86</v>
      </c>
      <c r="C72" s="30">
        <v>5411692577285</v>
      </c>
      <c r="D72" s="26">
        <v>107061</v>
      </c>
      <c r="E72" s="27" t="s">
        <v>87</v>
      </c>
      <c r="F72" s="28">
        <v>48</v>
      </c>
      <c r="G72" s="28">
        <f t="shared" si="2"/>
        <v>48</v>
      </c>
      <c r="H72" s="48">
        <v>0</v>
      </c>
      <c r="I72" s="33"/>
      <c r="J72" s="16"/>
      <c r="K72" s="18"/>
    </row>
    <row r="73" spans="2:11">
      <c r="B73" s="29" t="s">
        <v>86</v>
      </c>
      <c r="C73" s="30">
        <v>5411692526665</v>
      </c>
      <c r="D73" s="26">
        <v>3318008</v>
      </c>
      <c r="E73" s="27" t="s">
        <v>88</v>
      </c>
      <c r="F73" s="28">
        <v>34</v>
      </c>
      <c r="G73" s="28">
        <f t="shared" si="2"/>
        <v>34</v>
      </c>
      <c r="H73" s="48">
        <v>0</v>
      </c>
      <c r="I73" s="33"/>
      <c r="J73" s="16"/>
      <c r="K73" s="18"/>
    </row>
    <row r="74" spans="2:11">
      <c r="B74" s="29" t="s">
        <v>86</v>
      </c>
      <c r="C74" s="30">
        <v>5411692526689</v>
      </c>
      <c r="D74" s="26">
        <v>3318006</v>
      </c>
      <c r="E74" s="27" t="s">
        <v>89</v>
      </c>
      <c r="F74" s="28">
        <v>22</v>
      </c>
      <c r="G74" s="28">
        <f t="shared" si="2"/>
        <v>22</v>
      </c>
      <c r="H74" s="48">
        <v>0</v>
      </c>
      <c r="I74" s="33"/>
      <c r="J74" s="16"/>
      <c r="K74" s="18"/>
    </row>
    <row r="75" spans="2:11">
      <c r="B75" s="29" t="s">
        <v>90</v>
      </c>
      <c r="C75" s="30" t="s">
        <v>91</v>
      </c>
      <c r="D75" s="26">
        <v>3301777</v>
      </c>
      <c r="E75" s="27" t="s">
        <v>92</v>
      </c>
      <c r="F75" s="28">
        <v>2107</v>
      </c>
      <c r="G75" s="28">
        <f t="shared" si="2"/>
        <v>2187</v>
      </c>
      <c r="H75" s="48">
        <v>3.7999999999999999E-2</v>
      </c>
      <c r="I75" s="33" t="s">
        <v>93</v>
      </c>
      <c r="J75" s="17">
        <f>G75+$G$114+$G$127</f>
        <v>2267</v>
      </c>
      <c r="K75" s="18"/>
    </row>
    <row r="76" spans="2:11">
      <c r="B76" s="29" t="s">
        <v>90</v>
      </c>
      <c r="C76" s="30" t="s">
        <v>94</v>
      </c>
      <c r="D76" s="26">
        <v>3301779</v>
      </c>
      <c r="E76" s="27" t="s">
        <v>95</v>
      </c>
      <c r="F76" s="28">
        <v>2541</v>
      </c>
      <c r="G76" s="28">
        <f t="shared" si="2"/>
        <v>2638</v>
      </c>
      <c r="H76" s="48">
        <v>3.7999999999999999E-2</v>
      </c>
      <c r="I76" s="33" t="s">
        <v>93</v>
      </c>
      <c r="J76" s="17">
        <f>G76+$G$114+$G$127</f>
        <v>2718</v>
      </c>
      <c r="K76" s="18"/>
    </row>
    <row r="77" spans="2:11">
      <c r="B77" s="29" t="s">
        <v>90</v>
      </c>
      <c r="C77" s="30">
        <v>3234090914269</v>
      </c>
      <c r="D77" s="26">
        <v>4123009</v>
      </c>
      <c r="E77" s="27" t="s">
        <v>96</v>
      </c>
      <c r="F77" s="28">
        <v>1750</v>
      </c>
      <c r="G77" s="28">
        <f t="shared" si="2"/>
        <v>1817</v>
      </c>
      <c r="H77" s="48">
        <v>3.7999999999999999E-2</v>
      </c>
      <c r="I77" s="33" t="s">
        <v>93</v>
      </c>
      <c r="J77" s="17">
        <f>G77+$G$114+$G$127</f>
        <v>1897</v>
      </c>
      <c r="K77" s="18"/>
    </row>
    <row r="78" spans="2:11">
      <c r="B78" s="29" t="s">
        <v>90</v>
      </c>
      <c r="C78" s="30">
        <v>3234090914252</v>
      </c>
      <c r="D78" s="26">
        <v>4123010</v>
      </c>
      <c r="E78" s="27" t="s">
        <v>97</v>
      </c>
      <c r="F78" s="28">
        <v>1979</v>
      </c>
      <c r="G78" s="28">
        <f t="shared" si="2"/>
        <v>2054</v>
      </c>
      <c r="H78" s="48">
        <v>3.7999999999999999E-2</v>
      </c>
      <c r="I78" s="33" t="s">
        <v>93</v>
      </c>
      <c r="J78" s="17">
        <f t="shared" ref="J78:J79" si="3">G78+$G$114+$G$127</f>
        <v>2134</v>
      </c>
      <c r="K78" s="18"/>
    </row>
    <row r="79" spans="2:11">
      <c r="B79" s="29" t="s">
        <v>90</v>
      </c>
      <c r="C79" s="30" t="s">
        <v>98</v>
      </c>
      <c r="D79" s="26">
        <v>3302125</v>
      </c>
      <c r="E79" s="27" t="s">
        <v>99</v>
      </c>
      <c r="F79" s="28">
        <v>2297</v>
      </c>
      <c r="G79" s="28">
        <f t="shared" si="2"/>
        <v>2384</v>
      </c>
      <c r="H79" s="48">
        <v>3.7999999999999999E-2</v>
      </c>
      <c r="I79" s="33" t="s">
        <v>93</v>
      </c>
      <c r="J79" s="17">
        <f t="shared" si="3"/>
        <v>2464</v>
      </c>
      <c r="K79" s="18"/>
    </row>
    <row r="80" spans="2:11">
      <c r="B80" s="29" t="s">
        <v>90</v>
      </c>
      <c r="C80" s="30">
        <v>5414849692008</v>
      </c>
      <c r="D80" s="26">
        <v>3301032</v>
      </c>
      <c r="E80" s="27" t="s">
        <v>100</v>
      </c>
      <c r="F80" s="28">
        <v>1943</v>
      </c>
      <c r="G80" s="28">
        <f t="shared" si="2"/>
        <v>2017</v>
      </c>
      <c r="H80" s="48">
        <v>3.7999999999999999E-2</v>
      </c>
      <c r="I80" s="33" t="s">
        <v>93</v>
      </c>
      <c r="J80" s="17">
        <f>G80+$G$114+$G$127</f>
        <v>2097</v>
      </c>
      <c r="K80" s="18"/>
    </row>
    <row r="81" spans="2:11">
      <c r="B81" s="29" t="s">
        <v>90</v>
      </c>
      <c r="C81" s="30">
        <v>3234090881219</v>
      </c>
      <c r="D81" s="26">
        <v>3302128</v>
      </c>
      <c r="E81" s="27" t="s">
        <v>101</v>
      </c>
      <c r="F81" s="28">
        <v>3109</v>
      </c>
      <c r="G81" s="28">
        <f t="shared" si="2"/>
        <v>3227</v>
      </c>
      <c r="H81" s="48">
        <v>3.7999999999999999E-2</v>
      </c>
      <c r="I81" s="33" t="s">
        <v>93</v>
      </c>
      <c r="J81" s="17">
        <f>G81+$G$114+$G$127</f>
        <v>3307</v>
      </c>
      <c r="K81" s="18"/>
    </row>
    <row r="82" spans="2:11">
      <c r="B82" s="29" t="s">
        <v>90</v>
      </c>
      <c r="C82" s="30">
        <v>3234090867565</v>
      </c>
      <c r="D82" s="26">
        <v>4123008</v>
      </c>
      <c r="E82" s="27" t="s">
        <v>102</v>
      </c>
      <c r="F82" s="28">
        <v>1569</v>
      </c>
      <c r="G82" s="28">
        <f t="shared" si="2"/>
        <v>1629</v>
      </c>
      <c r="H82" s="48">
        <v>3.7999999999999999E-2</v>
      </c>
      <c r="I82" s="33" t="s">
        <v>93</v>
      </c>
      <c r="J82" s="17">
        <f>G82+$G$114+$G$127</f>
        <v>1709</v>
      </c>
      <c r="K82" s="18"/>
    </row>
    <row r="83" spans="2:11">
      <c r="B83" s="29" t="s">
        <v>90</v>
      </c>
      <c r="C83" s="30">
        <v>5414849546325</v>
      </c>
      <c r="D83" s="26">
        <v>3581564</v>
      </c>
      <c r="E83" s="27" t="s">
        <v>103</v>
      </c>
      <c r="F83" s="28">
        <v>3600</v>
      </c>
      <c r="G83" s="28">
        <f t="shared" si="2"/>
        <v>3737</v>
      </c>
      <c r="H83" s="48">
        <v>3.7999999999999999E-2</v>
      </c>
      <c r="I83" s="33"/>
      <c r="J83" s="16"/>
      <c r="K83" s="18"/>
    </row>
    <row r="84" spans="2:11">
      <c r="B84" s="29" t="s">
        <v>90</v>
      </c>
      <c r="C84" s="30">
        <v>5414849546332</v>
      </c>
      <c r="D84" s="26">
        <v>3581565</v>
      </c>
      <c r="E84" s="27" t="s">
        <v>104</v>
      </c>
      <c r="F84" s="28">
        <v>4173</v>
      </c>
      <c r="G84" s="28">
        <f t="shared" si="2"/>
        <v>4332</v>
      </c>
      <c r="H84" s="48">
        <v>3.7999999999999999E-2</v>
      </c>
      <c r="I84" s="33"/>
      <c r="J84" s="16"/>
      <c r="K84" s="18"/>
    </row>
    <row r="85" spans="2:11">
      <c r="B85" s="29" t="s">
        <v>90</v>
      </c>
      <c r="C85" s="30">
        <v>5414849546349</v>
      </c>
      <c r="D85" s="26">
        <v>3581566</v>
      </c>
      <c r="E85" s="27" t="s">
        <v>105</v>
      </c>
      <c r="F85" s="28">
        <v>5094</v>
      </c>
      <c r="G85" s="28">
        <f t="shared" si="2"/>
        <v>5288</v>
      </c>
      <c r="H85" s="48">
        <v>3.7999999999999999E-2</v>
      </c>
      <c r="I85" s="33"/>
      <c r="J85" s="16"/>
      <c r="K85" s="18"/>
    </row>
    <row r="86" spans="2:11">
      <c r="B86" s="29" t="s">
        <v>90</v>
      </c>
      <c r="C86" s="30">
        <v>5414849546363</v>
      </c>
      <c r="D86" s="26">
        <v>3581568</v>
      </c>
      <c r="E86" s="27" t="s">
        <v>106</v>
      </c>
      <c r="F86" s="28">
        <v>6223</v>
      </c>
      <c r="G86" s="28">
        <f t="shared" si="2"/>
        <v>6459</v>
      </c>
      <c r="H86" s="48">
        <v>3.7999999999999999E-2</v>
      </c>
      <c r="I86" s="33"/>
      <c r="J86" s="16"/>
      <c r="K86" s="18"/>
    </row>
    <row r="87" spans="2:11">
      <c r="B87" s="29" t="s">
        <v>90</v>
      </c>
      <c r="C87" s="30">
        <v>5414849546370</v>
      </c>
      <c r="D87" s="26">
        <v>3581569</v>
      </c>
      <c r="E87" s="27" t="s">
        <v>107</v>
      </c>
      <c r="F87" s="28">
        <v>7534</v>
      </c>
      <c r="G87" s="28">
        <f t="shared" si="2"/>
        <v>7820</v>
      </c>
      <c r="H87" s="48">
        <v>3.7999999999999999E-2</v>
      </c>
      <c r="I87" s="33"/>
      <c r="J87" s="16"/>
      <c r="K87" s="18"/>
    </row>
    <row r="88" spans="2:11">
      <c r="B88" s="29" t="s">
        <v>108</v>
      </c>
      <c r="C88" s="30">
        <v>5414849775251</v>
      </c>
      <c r="D88" s="26">
        <v>3301313</v>
      </c>
      <c r="E88" s="27" t="s">
        <v>109</v>
      </c>
      <c r="F88" s="28">
        <v>1355</v>
      </c>
      <c r="G88" s="28">
        <f t="shared" si="2"/>
        <v>1406</v>
      </c>
      <c r="H88" s="48">
        <v>3.7999999999999999E-2</v>
      </c>
      <c r="I88" s="34"/>
      <c r="J88" s="17"/>
      <c r="K88" s="24"/>
    </row>
    <row r="89" spans="2:11">
      <c r="B89" s="29" t="s">
        <v>110</v>
      </c>
      <c r="C89" s="30">
        <v>5414849786035</v>
      </c>
      <c r="D89" s="26">
        <v>3319371</v>
      </c>
      <c r="E89" s="27" t="s">
        <v>111</v>
      </c>
      <c r="F89" s="28">
        <v>34</v>
      </c>
      <c r="G89" s="28">
        <f t="shared" si="2"/>
        <v>34</v>
      </c>
      <c r="H89" s="48">
        <v>0</v>
      </c>
      <c r="I89" s="33"/>
      <c r="J89" s="16"/>
      <c r="K89" s="24"/>
    </row>
    <row r="90" spans="2:11">
      <c r="B90" s="29" t="s">
        <v>112</v>
      </c>
      <c r="C90" s="30">
        <v>5414849693593</v>
      </c>
      <c r="D90" s="26">
        <v>3319126</v>
      </c>
      <c r="E90" s="27" t="s">
        <v>113</v>
      </c>
      <c r="F90" s="28">
        <v>248</v>
      </c>
      <c r="G90" s="28">
        <f t="shared" si="2"/>
        <v>248</v>
      </c>
      <c r="H90" s="48">
        <v>0</v>
      </c>
      <c r="I90" s="33"/>
      <c r="J90" s="16"/>
      <c r="K90" s="18"/>
    </row>
    <row r="91" spans="2:11">
      <c r="B91" s="29" t="s">
        <v>112</v>
      </c>
      <c r="C91" s="30">
        <v>3234090863925</v>
      </c>
      <c r="D91" s="26">
        <v>3319476</v>
      </c>
      <c r="E91" s="27" t="s">
        <v>114</v>
      </c>
      <c r="F91" s="28">
        <v>248</v>
      </c>
      <c r="G91" s="28">
        <f t="shared" si="2"/>
        <v>248</v>
      </c>
      <c r="H91" s="48">
        <v>0</v>
      </c>
      <c r="I91" s="33"/>
      <c r="J91" s="16"/>
      <c r="K91" s="18"/>
    </row>
    <row r="92" spans="2:11">
      <c r="B92" s="29" t="s">
        <v>112</v>
      </c>
      <c r="C92" s="30">
        <v>5414849718555</v>
      </c>
      <c r="D92" s="26">
        <v>3319116</v>
      </c>
      <c r="E92" s="27" t="s">
        <v>115</v>
      </c>
      <c r="F92" s="28">
        <v>92</v>
      </c>
      <c r="G92" s="28">
        <f t="shared" si="2"/>
        <v>92</v>
      </c>
      <c r="H92" s="48">
        <v>0</v>
      </c>
      <c r="I92" s="33"/>
      <c r="J92" s="16"/>
      <c r="K92" s="18"/>
    </row>
    <row r="93" spans="2:11">
      <c r="B93" s="29" t="s">
        <v>112</v>
      </c>
      <c r="C93" s="30">
        <v>3234090863932</v>
      </c>
      <c r="D93" s="26">
        <v>3319477</v>
      </c>
      <c r="E93" s="27" t="s">
        <v>116</v>
      </c>
      <c r="F93" s="28">
        <v>92</v>
      </c>
      <c r="G93" s="28">
        <f t="shared" si="2"/>
        <v>92</v>
      </c>
      <c r="H93" s="48">
        <v>0</v>
      </c>
      <c r="I93" s="33"/>
      <c r="J93" s="16"/>
      <c r="K93" s="18"/>
    </row>
    <row r="94" spans="2:11">
      <c r="B94" s="29" t="s">
        <v>112</v>
      </c>
      <c r="C94" s="30" t="s">
        <v>117</v>
      </c>
      <c r="D94" s="26">
        <v>3319643</v>
      </c>
      <c r="E94" s="27" t="s">
        <v>118</v>
      </c>
      <c r="F94" s="28">
        <v>235</v>
      </c>
      <c r="G94" s="28">
        <f t="shared" si="2"/>
        <v>235</v>
      </c>
      <c r="H94" s="48">
        <v>0</v>
      </c>
      <c r="I94" s="33"/>
      <c r="J94" s="16"/>
      <c r="K94" s="18"/>
    </row>
    <row r="95" spans="2:11">
      <c r="B95" s="29" t="s">
        <v>112</v>
      </c>
      <c r="C95" s="30" t="s">
        <v>119</v>
      </c>
      <c r="D95" s="26">
        <v>3319468</v>
      </c>
      <c r="E95" s="27" t="s">
        <v>120</v>
      </c>
      <c r="F95" s="28">
        <v>157</v>
      </c>
      <c r="G95" s="28">
        <f t="shared" si="2"/>
        <v>157</v>
      </c>
      <c r="H95" s="48">
        <v>0</v>
      </c>
      <c r="I95" s="33"/>
      <c r="J95" s="16"/>
      <c r="K95" s="18"/>
    </row>
    <row r="96" spans="2:11">
      <c r="B96" s="29" t="s">
        <v>112</v>
      </c>
      <c r="C96" s="30" t="s">
        <v>121</v>
      </c>
      <c r="D96" s="26">
        <v>3319467</v>
      </c>
      <c r="E96" s="27" t="s">
        <v>122</v>
      </c>
      <c r="F96" s="28">
        <v>157</v>
      </c>
      <c r="G96" s="28">
        <f t="shared" si="2"/>
        <v>157</v>
      </c>
      <c r="H96" s="48">
        <v>0</v>
      </c>
      <c r="I96" s="34"/>
      <c r="J96" s="16"/>
      <c r="K96" s="18"/>
    </row>
    <row r="97" spans="2:11">
      <c r="B97" s="29" t="s">
        <v>112</v>
      </c>
      <c r="C97" s="30">
        <v>5414849297760</v>
      </c>
      <c r="D97" s="26">
        <v>3318588</v>
      </c>
      <c r="E97" s="27" t="s">
        <v>123</v>
      </c>
      <c r="F97" s="28">
        <v>21</v>
      </c>
      <c r="G97" s="28">
        <f t="shared" si="2"/>
        <v>21</v>
      </c>
      <c r="H97" s="48">
        <v>0</v>
      </c>
      <c r="I97" s="33"/>
      <c r="J97" s="16"/>
      <c r="K97" s="18"/>
    </row>
    <row r="98" spans="2:11">
      <c r="B98" s="29" t="s">
        <v>124</v>
      </c>
      <c r="C98" s="30">
        <v>5414849687837</v>
      </c>
      <c r="D98" s="26">
        <v>3319118</v>
      </c>
      <c r="E98" s="27" t="s">
        <v>125</v>
      </c>
      <c r="F98" s="28">
        <v>110</v>
      </c>
      <c r="G98" s="28">
        <f t="shared" si="2"/>
        <v>110</v>
      </c>
      <c r="H98" s="48">
        <v>0</v>
      </c>
      <c r="I98" s="33"/>
      <c r="J98" s="16"/>
      <c r="K98" s="18"/>
    </row>
    <row r="99" spans="2:11">
      <c r="B99" s="29" t="s">
        <v>124</v>
      </c>
      <c r="C99" s="30">
        <v>3234090865271</v>
      </c>
      <c r="D99" s="26">
        <v>3319478</v>
      </c>
      <c r="E99" s="27" t="s">
        <v>126</v>
      </c>
      <c r="F99" s="28">
        <v>110</v>
      </c>
      <c r="G99" s="28">
        <f t="shared" si="2"/>
        <v>110</v>
      </c>
      <c r="H99" s="48">
        <v>0</v>
      </c>
      <c r="I99" s="33"/>
      <c r="J99" s="16"/>
      <c r="K99" s="18"/>
    </row>
    <row r="100" spans="2:11">
      <c r="B100" s="29" t="s">
        <v>112</v>
      </c>
      <c r="C100" s="30">
        <v>5414849944787</v>
      </c>
      <c r="D100" s="26">
        <v>3301571</v>
      </c>
      <c r="E100" s="27" t="s">
        <v>127</v>
      </c>
      <c r="F100" s="28">
        <v>301</v>
      </c>
      <c r="G100" s="28">
        <f t="shared" si="2"/>
        <v>301</v>
      </c>
      <c r="H100" s="48">
        <v>0</v>
      </c>
      <c r="I100" s="33"/>
      <c r="J100" s="16"/>
      <c r="K100" s="18"/>
    </row>
    <row r="101" spans="2:11">
      <c r="B101" s="29" t="s">
        <v>124</v>
      </c>
      <c r="C101" s="30">
        <v>5414849792579</v>
      </c>
      <c r="D101" s="26">
        <v>3319686</v>
      </c>
      <c r="E101" s="27" t="s">
        <v>128</v>
      </c>
      <c r="F101" s="28">
        <v>110</v>
      </c>
      <c r="G101" s="28">
        <f t="shared" si="2"/>
        <v>110</v>
      </c>
      <c r="H101" s="48">
        <v>0</v>
      </c>
      <c r="I101" s="33"/>
      <c r="J101" s="16"/>
      <c r="K101" s="18"/>
    </row>
    <row r="102" spans="2:11">
      <c r="B102" s="29" t="s">
        <v>124</v>
      </c>
      <c r="C102" s="30">
        <v>5414849718562</v>
      </c>
      <c r="D102" s="26">
        <v>3319098</v>
      </c>
      <c r="E102" s="27" t="s">
        <v>129</v>
      </c>
      <c r="F102" s="28">
        <v>189</v>
      </c>
      <c r="G102" s="28">
        <f t="shared" si="2"/>
        <v>189</v>
      </c>
      <c r="H102" s="48">
        <v>0</v>
      </c>
      <c r="I102" s="33"/>
      <c r="J102" s="16"/>
      <c r="K102" s="18"/>
    </row>
    <row r="103" spans="2:11">
      <c r="B103" s="29" t="s">
        <v>112</v>
      </c>
      <c r="C103" s="30">
        <v>5414849655065</v>
      </c>
      <c r="D103" s="26">
        <v>3319091</v>
      </c>
      <c r="E103" s="27" t="s">
        <v>130</v>
      </c>
      <c r="F103" s="28">
        <v>102</v>
      </c>
      <c r="G103" s="28">
        <f t="shared" si="2"/>
        <v>102</v>
      </c>
      <c r="H103" s="48">
        <v>0</v>
      </c>
      <c r="I103" s="33"/>
      <c r="J103" s="16"/>
      <c r="K103" s="18"/>
    </row>
    <row r="104" spans="2:11">
      <c r="B104" s="29" t="s">
        <v>124</v>
      </c>
      <c r="C104" s="30">
        <v>5414849655010</v>
      </c>
      <c r="D104" s="26">
        <v>3319089</v>
      </c>
      <c r="E104" s="27" t="s">
        <v>131</v>
      </c>
      <c r="F104" s="28">
        <v>96</v>
      </c>
      <c r="G104" s="28">
        <f t="shared" si="2"/>
        <v>96</v>
      </c>
      <c r="H104" s="48">
        <v>0</v>
      </c>
      <c r="I104" s="33"/>
      <c r="J104" s="16"/>
      <c r="K104" s="18"/>
    </row>
    <row r="105" spans="2:11">
      <c r="B105" s="51" t="s">
        <v>132</v>
      </c>
      <c r="C105" s="30">
        <v>5411692257224</v>
      </c>
      <c r="D105" s="26">
        <v>4267008</v>
      </c>
      <c r="E105" s="27" t="s">
        <v>656</v>
      </c>
      <c r="F105" s="28">
        <v>615</v>
      </c>
      <c r="G105" s="28">
        <f t="shared" si="2"/>
        <v>615</v>
      </c>
      <c r="H105" s="48">
        <v>0</v>
      </c>
      <c r="I105" s="31" t="s">
        <v>658</v>
      </c>
      <c r="J105" s="16"/>
      <c r="K105" s="18"/>
    </row>
    <row r="106" spans="2:11">
      <c r="B106" s="51" t="s">
        <v>132</v>
      </c>
      <c r="C106" s="30">
        <v>5411692257187</v>
      </c>
      <c r="D106" s="26">
        <v>4267009</v>
      </c>
      <c r="E106" s="27" t="s">
        <v>657</v>
      </c>
      <c r="F106" s="28">
        <v>830</v>
      </c>
      <c r="G106" s="28">
        <f t="shared" si="2"/>
        <v>830</v>
      </c>
      <c r="H106" s="48">
        <v>0</v>
      </c>
      <c r="I106" s="31" t="s">
        <v>659</v>
      </c>
      <c r="J106" s="16"/>
      <c r="K106" s="18"/>
    </row>
    <row r="107" spans="2:11">
      <c r="B107" s="51" t="s">
        <v>132</v>
      </c>
      <c r="C107" s="30">
        <v>5411692257170</v>
      </c>
      <c r="D107" s="26">
        <v>4267010</v>
      </c>
      <c r="E107" s="27" t="s">
        <v>660</v>
      </c>
      <c r="F107" s="28">
        <v>1056</v>
      </c>
      <c r="G107" s="28">
        <f t="shared" si="2"/>
        <v>1056</v>
      </c>
      <c r="H107" s="48">
        <v>0</v>
      </c>
      <c r="I107" s="31" t="s">
        <v>661</v>
      </c>
      <c r="J107" s="16"/>
      <c r="K107" s="18"/>
    </row>
    <row r="108" spans="2:11">
      <c r="B108" s="51" t="s">
        <v>132</v>
      </c>
      <c r="C108" s="30">
        <v>5411692257163</v>
      </c>
      <c r="D108" s="26">
        <v>4267011</v>
      </c>
      <c r="E108" s="27" t="s">
        <v>662</v>
      </c>
      <c r="F108" s="28">
        <v>1145</v>
      </c>
      <c r="G108" s="28">
        <f t="shared" si="2"/>
        <v>1145</v>
      </c>
      <c r="H108" s="48">
        <v>0</v>
      </c>
      <c r="I108" s="31" t="s">
        <v>663</v>
      </c>
      <c r="J108" s="16"/>
      <c r="K108" s="18"/>
    </row>
    <row r="109" spans="2:11">
      <c r="B109" s="51" t="s">
        <v>132</v>
      </c>
      <c r="C109" s="30">
        <v>5411692257156</v>
      </c>
      <c r="D109" s="26">
        <v>4267012</v>
      </c>
      <c r="E109" s="27" t="s">
        <v>664</v>
      </c>
      <c r="F109" s="28">
        <v>1550</v>
      </c>
      <c r="G109" s="28">
        <f t="shared" si="2"/>
        <v>1550</v>
      </c>
      <c r="H109" s="48">
        <v>0</v>
      </c>
      <c r="I109" s="31" t="s">
        <v>665</v>
      </c>
      <c r="J109" s="16"/>
      <c r="K109" s="18"/>
    </row>
    <row r="110" spans="2:11">
      <c r="B110" s="51" t="s">
        <v>132</v>
      </c>
      <c r="C110" s="30">
        <v>5411692122041</v>
      </c>
      <c r="D110" s="26">
        <v>3319717</v>
      </c>
      <c r="E110" s="27" t="s">
        <v>668</v>
      </c>
      <c r="F110" s="28">
        <v>197</v>
      </c>
      <c r="G110" s="28">
        <f t="shared" si="2"/>
        <v>197</v>
      </c>
      <c r="H110" s="48">
        <v>0</v>
      </c>
      <c r="I110" s="31" t="s">
        <v>669</v>
      </c>
      <c r="J110" s="16"/>
      <c r="K110" s="18"/>
    </row>
    <row r="111" spans="2:11">
      <c r="B111" s="51" t="s">
        <v>132</v>
      </c>
      <c r="C111" s="30">
        <v>5411692124915</v>
      </c>
      <c r="D111" s="26">
        <v>3319718</v>
      </c>
      <c r="E111" s="27" t="s">
        <v>670</v>
      </c>
      <c r="F111" s="28">
        <v>109</v>
      </c>
      <c r="G111" s="28">
        <f t="shared" si="2"/>
        <v>109</v>
      </c>
      <c r="H111" s="48">
        <v>0</v>
      </c>
      <c r="I111" s="31" t="s">
        <v>671</v>
      </c>
      <c r="J111" s="16"/>
      <c r="K111" s="18"/>
    </row>
    <row r="112" spans="2:11">
      <c r="B112" s="29" t="s">
        <v>133</v>
      </c>
      <c r="C112" s="30">
        <v>3234090857375</v>
      </c>
      <c r="D112" s="26">
        <v>3319130</v>
      </c>
      <c r="E112" s="27" t="s">
        <v>134</v>
      </c>
      <c r="F112" s="28">
        <v>81</v>
      </c>
      <c r="G112" s="28">
        <f t="shared" si="2"/>
        <v>81</v>
      </c>
      <c r="H112" s="48">
        <v>0</v>
      </c>
      <c r="I112" s="33"/>
      <c r="J112" s="16"/>
      <c r="K112" s="18"/>
    </row>
    <row r="113" spans="2:11">
      <c r="B113" s="29" t="s">
        <v>133</v>
      </c>
      <c r="C113" s="30">
        <v>5414849687875</v>
      </c>
      <c r="D113" s="26">
        <v>3319122</v>
      </c>
      <c r="E113" s="27" t="s">
        <v>135</v>
      </c>
      <c r="F113" s="28">
        <v>123</v>
      </c>
      <c r="G113" s="28">
        <f t="shared" si="2"/>
        <v>123</v>
      </c>
      <c r="H113" s="48">
        <v>0</v>
      </c>
      <c r="I113" s="33"/>
      <c r="J113" s="16"/>
      <c r="K113" s="18"/>
    </row>
    <row r="114" spans="2:11">
      <c r="B114" s="29" t="s">
        <v>136</v>
      </c>
      <c r="C114" s="30">
        <v>5411692653255</v>
      </c>
      <c r="D114" s="26">
        <v>3318285</v>
      </c>
      <c r="E114" s="27" t="s">
        <v>137</v>
      </c>
      <c r="F114" s="28">
        <v>40</v>
      </c>
      <c r="G114" s="28">
        <f t="shared" si="2"/>
        <v>40</v>
      </c>
      <c r="H114" s="48">
        <v>0</v>
      </c>
      <c r="I114" s="33"/>
      <c r="J114" s="16"/>
      <c r="K114" s="18"/>
    </row>
    <row r="115" spans="2:11">
      <c r="B115" s="29" t="s">
        <v>136</v>
      </c>
      <c r="C115" s="30">
        <v>5414849132344</v>
      </c>
      <c r="D115" s="26">
        <v>3318227</v>
      </c>
      <c r="E115" s="27" t="s">
        <v>138</v>
      </c>
      <c r="F115" s="28">
        <v>116</v>
      </c>
      <c r="G115" s="28">
        <f t="shared" si="2"/>
        <v>116</v>
      </c>
      <c r="H115" s="48">
        <v>0</v>
      </c>
      <c r="I115" s="33"/>
      <c r="J115" s="16"/>
      <c r="K115" s="18"/>
    </row>
    <row r="116" spans="2:11">
      <c r="B116" s="29" t="s">
        <v>136</v>
      </c>
      <c r="C116" s="30">
        <v>5414849587953</v>
      </c>
      <c r="D116" s="26">
        <v>3318960</v>
      </c>
      <c r="E116" s="27" t="s">
        <v>139</v>
      </c>
      <c r="F116" s="28">
        <v>85</v>
      </c>
      <c r="G116" s="28">
        <f t="shared" si="2"/>
        <v>85</v>
      </c>
      <c r="H116" s="48">
        <v>0</v>
      </c>
      <c r="I116" s="33"/>
      <c r="J116" s="16"/>
      <c r="K116" s="18"/>
    </row>
    <row r="117" spans="2:11">
      <c r="B117" s="29" t="s">
        <v>136</v>
      </c>
      <c r="C117" s="30">
        <v>3234090770520</v>
      </c>
      <c r="D117" s="26">
        <v>3678482</v>
      </c>
      <c r="E117" s="27" t="s">
        <v>140</v>
      </c>
      <c r="F117" s="28">
        <v>146</v>
      </c>
      <c r="G117" s="28">
        <f t="shared" si="2"/>
        <v>146</v>
      </c>
      <c r="H117" s="48">
        <v>0</v>
      </c>
      <c r="I117" s="33"/>
      <c r="J117" s="16"/>
      <c r="K117" s="18"/>
    </row>
    <row r="118" spans="2:11">
      <c r="B118" s="29" t="s">
        <v>136</v>
      </c>
      <c r="C118" s="30">
        <v>5414849132443</v>
      </c>
      <c r="D118" s="26">
        <v>3318334</v>
      </c>
      <c r="E118" s="27" t="s">
        <v>141</v>
      </c>
      <c r="F118" s="28">
        <v>331</v>
      </c>
      <c r="G118" s="28">
        <f t="shared" si="2"/>
        <v>331</v>
      </c>
      <c r="H118" s="48">
        <v>0</v>
      </c>
      <c r="I118" s="33"/>
      <c r="J118" s="16"/>
      <c r="K118" s="18"/>
    </row>
    <row r="119" spans="2:11">
      <c r="B119" s="29" t="s">
        <v>136</v>
      </c>
      <c r="C119" s="30">
        <v>5414849032828</v>
      </c>
      <c r="D119" s="26">
        <v>3678478</v>
      </c>
      <c r="E119" s="27" t="s">
        <v>142</v>
      </c>
      <c r="F119" s="28">
        <v>390</v>
      </c>
      <c r="G119" s="28">
        <f t="shared" si="2"/>
        <v>390</v>
      </c>
      <c r="H119" s="48">
        <v>0</v>
      </c>
      <c r="I119" s="33"/>
      <c r="J119" s="16"/>
      <c r="K119" s="18"/>
    </row>
    <row r="120" spans="2:11">
      <c r="B120" s="29" t="s">
        <v>143</v>
      </c>
      <c r="C120" s="30">
        <v>3234090742411</v>
      </c>
      <c r="D120" s="26">
        <v>3678411</v>
      </c>
      <c r="E120" s="27" t="s">
        <v>144</v>
      </c>
      <c r="F120" s="28">
        <v>100</v>
      </c>
      <c r="G120" s="28">
        <f t="shared" si="2"/>
        <v>100</v>
      </c>
      <c r="H120" s="48">
        <v>0</v>
      </c>
      <c r="I120" s="33"/>
      <c r="J120" s="16"/>
      <c r="K120" s="18"/>
    </row>
    <row r="121" spans="2:11">
      <c r="B121" s="29" t="s">
        <v>145</v>
      </c>
      <c r="C121" s="30">
        <v>5414849587960</v>
      </c>
      <c r="D121" s="26">
        <v>3318961</v>
      </c>
      <c r="E121" s="27" t="s">
        <v>146</v>
      </c>
      <c r="F121" s="28">
        <v>179</v>
      </c>
      <c r="G121" s="28">
        <f t="shared" si="2"/>
        <v>179</v>
      </c>
      <c r="H121" s="48">
        <v>0</v>
      </c>
      <c r="I121" s="33"/>
      <c r="J121" s="16"/>
      <c r="K121" s="18"/>
    </row>
    <row r="122" spans="2:11">
      <c r="B122" s="29" t="s">
        <v>145</v>
      </c>
      <c r="C122" s="30">
        <v>5414849139640</v>
      </c>
      <c r="D122" s="26">
        <v>3024085</v>
      </c>
      <c r="E122" s="27" t="s">
        <v>147</v>
      </c>
      <c r="F122" s="28">
        <v>159</v>
      </c>
      <c r="G122" s="28">
        <f t="shared" si="2"/>
        <v>159</v>
      </c>
      <c r="H122" s="48">
        <v>0</v>
      </c>
      <c r="I122" s="34"/>
      <c r="J122" s="16"/>
      <c r="K122" s="18"/>
    </row>
    <row r="123" spans="2:11">
      <c r="B123" s="29" t="s">
        <v>145</v>
      </c>
      <c r="C123" s="30">
        <v>5411692670221</v>
      </c>
      <c r="D123" s="26">
        <v>3318290</v>
      </c>
      <c r="E123" s="27" t="s">
        <v>148</v>
      </c>
      <c r="F123" s="28">
        <v>84</v>
      </c>
      <c r="G123" s="28">
        <f t="shared" si="2"/>
        <v>84</v>
      </c>
      <c r="H123" s="48">
        <v>0</v>
      </c>
      <c r="I123" s="33"/>
      <c r="J123" s="16"/>
      <c r="K123" s="18"/>
    </row>
    <row r="124" spans="2:11">
      <c r="B124" s="29" t="s">
        <v>145</v>
      </c>
      <c r="C124" s="30">
        <v>5414849621558</v>
      </c>
      <c r="D124" s="26">
        <v>3318983</v>
      </c>
      <c r="E124" s="27" t="s">
        <v>149</v>
      </c>
      <c r="F124" s="28">
        <v>18</v>
      </c>
      <c r="G124" s="28">
        <f t="shared" si="2"/>
        <v>18</v>
      </c>
      <c r="H124" s="48">
        <v>0</v>
      </c>
      <c r="I124" s="33"/>
      <c r="J124" s="16"/>
      <c r="K124" s="18"/>
    </row>
    <row r="125" spans="2:11">
      <c r="B125" s="29" t="s">
        <v>145</v>
      </c>
      <c r="C125" s="30">
        <v>5414849281714</v>
      </c>
      <c r="D125" s="26">
        <v>3024172</v>
      </c>
      <c r="E125" s="27" t="s">
        <v>150</v>
      </c>
      <c r="F125" s="28">
        <v>580</v>
      </c>
      <c r="G125" s="28">
        <f t="shared" si="2"/>
        <v>580</v>
      </c>
      <c r="H125" s="48">
        <v>0</v>
      </c>
      <c r="I125" s="33"/>
      <c r="J125" s="16"/>
      <c r="K125" s="18"/>
    </row>
    <row r="126" spans="2:11">
      <c r="B126" s="29" t="s">
        <v>145</v>
      </c>
      <c r="C126" s="30">
        <v>5414849281707</v>
      </c>
      <c r="D126" s="26">
        <v>3024171</v>
      </c>
      <c r="E126" s="27" t="s">
        <v>151</v>
      </c>
      <c r="F126" s="28">
        <v>757</v>
      </c>
      <c r="G126" s="28">
        <f t="shared" si="2"/>
        <v>757</v>
      </c>
      <c r="H126" s="48">
        <v>0</v>
      </c>
      <c r="I126" s="33"/>
      <c r="J126" s="16"/>
      <c r="K126" s="18"/>
    </row>
    <row r="127" spans="2:11">
      <c r="B127" s="29" t="s">
        <v>152</v>
      </c>
      <c r="C127" s="30">
        <v>5414849372122</v>
      </c>
      <c r="D127" s="26">
        <v>3318073</v>
      </c>
      <c r="E127" s="27" t="s">
        <v>153</v>
      </c>
      <c r="F127" s="28">
        <v>40</v>
      </c>
      <c r="G127" s="28">
        <f t="shared" si="2"/>
        <v>40</v>
      </c>
      <c r="H127" s="48">
        <v>0</v>
      </c>
      <c r="I127" s="33"/>
      <c r="J127" s="16"/>
      <c r="K127" s="18"/>
    </row>
    <row r="128" spans="2:11">
      <c r="B128" s="29" t="s">
        <v>152</v>
      </c>
      <c r="C128" s="30">
        <v>3234090831337</v>
      </c>
      <c r="D128" s="26">
        <v>3319163</v>
      </c>
      <c r="E128" s="27" t="s">
        <v>154</v>
      </c>
      <c r="F128" s="28">
        <v>53</v>
      </c>
      <c r="G128" s="28">
        <f t="shared" si="2"/>
        <v>53</v>
      </c>
      <c r="H128" s="48">
        <v>0</v>
      </c>
      <c r="I128" s="33"/>
      <c r="J128" s="16"/>
      <c r="K128" s="18"/>
    </row>
    <row r="129" spans="2:11">
      <c r="B129" s="29" t="s">
        <v>152</v>
      </c>
      <c r="C129" s="30">
        <v>5411692536176</v>
      </c>
      <c r="D129" s="26">
        <v>3318074</v>
      </c>
      <c r="E129" s="27" t="s">
        <v>155</v>
      </c>
      <c r="F129" s="28">
        <v>50</v>
      </c>
      <c r="G129" s="28">
        <f t="shared" si="2"/>
        <v>50</v>
      </c>
      <c r="H129" s="48">
        <v>0</v>
      </c>
      <c r="I129" s="33"/>
      <c r="J129" s="16"/>
      <c r="K129" s="18"/>
    </row>
    <row r="130" spans="2:11">
      <c r="B130" s="29" t="s">
        <v>152</v>
      </c>
      <c r="C130" s="30">
        <v>5411692536121</v>
      </c>
      <c r="D130" s="26">
        <v>3318079</v>
      </c>
      <c r="E130" s="27" t="s">
        <v>156</v>
      </c>
      <c r="F130" s="28">
        <v>29</v>
      </c>
      <c r="G130" s="28">
        <f t="shared" si="2"/>
        <v>29</v>
      </c>
      <c r="H130" s="48">
        <v>0</v>
      </c>
      <c r="I130" s="33"/>
      <c r="J130" s="16"/>
      <c r="K130" s="18"/>
    </row>
    <row r="131" spans="2:11">
      <c r="B131" s="29" t="s">
        <v>152</v>
      </c>
      <c r="C131" s="30">
        <v>5411692536169</v>
      </c>
      <c r="D131" s="26">
        <v>3318075</v>
      </c>
      <c r="E131" s="27" t="s">
        <v>157</v>
      </c>
      <c r="F131" s="28">
        <v>24</v>
      </c>
      <c r="G131" s="28">
        <f t="shared" ref="G131:G194" si="4">ROUND(F131+(F131*H131),0)</f>
        <v>24</v>
      </c>
      <c r="H131" s="48">
        <v>0</v>
      </c>
      <c r="I131" s="33"/>
      <c r="J131" s="16"/>
      <c r="K131" s="18"/>
    </row>
    <row r="132" spans="2:11">
      <c r="B132" s="29" t="s">
        <v>152</v>
      </c>
      <c r="C132" s="30">
        <v>5411692536152</v>
      </c>
      <c r="D132" s="26">
        <v>3318076</v>
      </c>
      <c r="E132" s="27" t="s">
        <v>158</v>
      </c>
      <c r="F132" s="28">
        <v>47</v>
      </c>
      <c r="G132" s="28">
        <f t="shared" si="4"/>
        <v>47</v>
      </c>
      <c r="H132" s="48">
        <v>0</v>
      </c>
      <c r="I132" s="33"/>
      <c r="J132" s="16"/>
      <c r="K132" s="18"/>
    </row>
    <row r="133" spans="2:11">
      <c r="B133" s="29" t="s">
        <v>152</v>
      </c>
      <c r="C133" s="30">
        <v>5411692536145</v>
      </c>
      <c r="D133" s="26">
        <v>3318077</v>
      </c>
      <c r="E133" s="27" t="s">
        <v>159</v>
      </c>
      <c r="F133" s="28">
        <v>31</v>
      </c>
      <c r="G133" s="28">
        <f t="shared" si="4"/>
        <v>31</v>
      </c>
      <c r="H133" s="48">
        <v>0</v>
      </c>
      <c r="I133" s="33"/>
      <c r="J133" s="16"/>
      <c r="K133" s="18"/>
    </row>
    <row r="134" spans="2:11">
      <c r="B134" s="29" t="s">
        <v>152</v>
      </c>
      <c r="C134" s="30">
        <v>5411692536138</v>
      </c>
      <c r="D134" s="26">
        <v>3318078</v>
      </c>
      <c r="E134" s="27" t="s">
        <v>160</v>
      </c>
      <c r="F134" s="28">
        <v>22</v>
      </c>
      <c r="G134" s="28">
        <f t="shared" si="4"/>
        <v>22</v>
      </c>
      <c r="H134" s="48">
        <v>0</v>
      </c>
      <c r="I134" s="33"/>
      <c r="J134" s="16"/>
      <c r="K134" s="18"/>
    </row>
    <row r="135" spans="2:11">
      <c r="B135" s="29" t="s">
        <v>152</v>
      </c>
      <c r="C135" s="30">
        <v>5411692526634</v>
      </c>
      <c r="D135" s="26">
        <v>3318011</v>
      </c>
      <c r="E135" s="27" t="s">
        <v>161</v>
      </c>
      <c r="F135" s="28">
        <v>39</v>
      </c>
      <c r="G135" s="28">
        <f t="shared" si="4"/>
        <v>39</v>
      </c>
      <c r="H135" s="48">
        <v>0</v>
      </c>
      <c r="I135" s="33"/>
      <c r="J135" s="16"/>
      <c r="K135" s="18"/>
    </row>
    <row r="136" spans="2:11">
      <c r="B136" s="29" t="s">
        <v>152</v>
      </c>
      <c r="C136" s="30">
        <v>5411692536114</v>
      </c>
      <c r="D136" s="26">
        <v>3318080</v>
      </c>
      <c r="E136" s="27" t="s">
        <v>162</v>
      </c>
      <c r="F136" s="28">
        <v>97</v>
      </c>
      <c r="G136" s="28">
        <f t="shared" si="4"/>
        <v>97</v>
      </c>
      <c r="H136" s="48">
        <v>0</v>
      </c>
      <c r="I136" s="33"/>
      <c r="J136" s="16"/>
      <c r="K136" s="18"/>
    </row>
    <row r="137" spans="2:11">
      <c r="B137" s="29" t="s">
        <v>152</v>
      </c>
      <c r="C137" s="30">
        <v>5411692526597</v>
      </c>
      <c r="D137" s="26">
        <v>3318015</v>
      </c>
      <c r="E137" s="27" t="s">
        <v>163</v>
      </c>
      <c r="F137" s="28">
        <v>26</v>
      </c>
      <c r="G137" s="28">
        <f t="shared" si="4"/>
        <v>26</v>
      </c>
      <c r="H137" s="48">
        <v>0</v>
      </c>
      <c r="I137" s="33"/>
      <c r="J137" s="16"/>
      <c r="K137" s="18"/>
    </row>
    <row r="138" spans="2:11">
      <c r="B138" s="29" t="s">
        <v>152</v>
      </c>
      <c r="C138" s="30">
        <v>5411692526580</v>
      </c>
      <c r="D138" s="26">
        <v>3318016</v>
      </c>
      <c r="E138" s="27" t="s">
        <v>164</v>
      </c>
      <c r="F138" s="28">
        <v>13</v>
      </c>
      <c r="G138" s="28">
        <f t="shared" si="4"/>
        <v>13</v>
      </c>
      <c r="H138" s="48">
        <v>0</v>
      </c>
      <c r="I138" s="33"/>
      <c r="J138" s="16"/>
      <c r="K138" s="18"/>
    </row>
    <row r="139" spans="2:11">
      <c r="B139" s="29" t="s">
        <v>152</v>
      </c>
      <c r="C139" s="30">
        <v>3234090876154</v>
      </c>
      <c r="D139" s="26">
        <v>3319653</v>
      </c>
      <c r="E139" s="27" t="s">
        <v>165</v>
      </c>
      <c r="F139" s="28">
        <v>217</v>
      </c>
      <c r="G139" s="28">
        <f t="shared" si="4"/>
        <v>217</v>
      </c>
      <c r="H139" s="48">
        <v>0</v>
      </c>
      <c r="I139" s="33"/>
      <c r="J139" s="16"/>
      <c r="K139" s="18"/>
    </row>
    <row r="140" spans="2:11">
      <c r="B140" s="29" t="s">
        <v>152</v>
      </c>
      <c r="C140" s="30">
        <v>5411692536015</v>
      </c>
      <c r="D140" s="26">
        <v>3318090</v>
      </c>
      <c r="E140" s="27" t="s">
        <v>166</v>
      </c>
      <c r="F140" s="28">
        <v>143</v>
      </c>
      <c r="G140" s="28">
        <f t="shared" si="4"/>
        <v>143</v>
      </c>
      <c r="H140" s="48">
        <v>0</v>
      </c>
      <c r="I140" s="33"/>
      <c r="J140" s="16"/>
      <c r="K140" s="18"/>
    </row>
    <row r="141" spans="2:11">
      <c r="B141" s="29" t="s">
        <v>152</v>
      </c>
      <c r="C141" s="30">
        <v>5411692535964</v>
      </c>
      <c r="D141" s="26">
        <v>3318095</v>
      </c>
      <c r="E141" s="27" t="s">
        <v>167</v>
      </c>
      <c r="F141" s="28">
        <v>29</v>
      </c>
      <c r="G141" s="28">
        <f t="shared" si="4"/>
        <v>29</v>
      </c>
      <c r="H141" s="48">
        <v>0</v>
      </c>
      <c r="I141" s="33"/>
      <c r="J141" s="16"/>
      <c r="K141" s="18"/>
    </row>
    <row r="142" spans="2:11">
      <c r="B142" s="29" t="s">
        <v>152</v>
      </c>
      <c r="C142" s="30">
        <v>5411692536008</v>
      </c>
      <c r="D142" s="26">
        <v>3318091</v>
      </c>
      <c r="E142" s="27" t="s">
        <v>168</v>
      </c>
      <c r="F142" s="28">
        <v>40</v>
      </c>
      <c r="G142" s="28">
        <f t="shared" si="4"/>
        <v>40</v>
      </c>
      <c r="H142" s="48">
        <v>0</v>
      </c>
      <c r="I142" s="33"/>
      <c r="J142" s="16"/>
      <c r="K142" s="18"/>
    </row>
    <row r="143" spans="2:11">
      <c r="B143" s="29" t="s">
        <v>152</v>
      </c>
      <c r="C143" s="30">
        <v>5411692682477</v>
      </c>
      <c r="D143" s="26">
        <v>3318188</v>
      </c>
      <c r="E143" s="27" t="s">
        <v>169</v>
      </c>
      <c r="F143" s="28">
        <v>84</v>
      </c>
      <c r="G143" s="28">
        <f t="shared" si="4"/>
        <v>84</v>
      </c>
      <c r="H143" s="48">
        <v>0</v>
      </c>
      <c r="I143" s="33"/>
      <c r="J143" s="16"/>
      <c r="K143" s="18"/>
    </row>
    <row r="144" spans="2:11">
      <c r="B144" s="29" t="s">
        <v>152</v>
      </c>
      <c r="C144" s="30">
        <v>5411692535995</v>
      </c>
      <c r="D144" s="26">
        <v>3318092</v>
      </c>
      <c r="E144" s="27" t="s">
        <v>170</v>
      </c>
      <c r="F144" s="28">
        <v>39</v>
      </c>
      <c r="G144" s="28">
        <f t="shared" si="4"/>
        <v>39</v>
      </c>
      <c r="H144" s="48">
        <v>0</v>
      </c>
      <c r="I144" s="33"/>
      <c r="J144" s="16"/>
      <c r="K144" s="18"/>
    </row>
    <row r="145" spans="2:11">
      <c r="B145" s="29" t="s">
        <v>152</v>
      </c>
      <c r="C145" s="30">
        <v>5411692535971</v>
      </c>
      <c r="D145" s="26">
        <v>3318094</v>
      </c>
      <c r="E145" s="27" t="s">
        <v>171</v>
      </c>
      <c r="F145" s="28">
        <v>47</v>
      </c>
      <c r="G145" s="28">
        <f t="shared" si="4"/>
        <v>47</v>
      </c>
      <c r="H145" s="48">
        <v>0</v>
      </c>
      <c r="I145" s="33"/>
      <c r="J145" s="16"/>
      <c r="K145" s="18"/>
    </row>
    <row r="146" spans="2:11">
      <c r="B146" s="29" t="s">
        <v>152</v>
      </c>
      <c r="C146" s="30">
        <v>5411692676063</v>
      </c>
      <c r="D146" s="26">
        <v>3318370</v>
      </c>
      <c r="E146" s="27" t="s">
        <v>172</v>
      </c>
      <c r="F146" s="28">
        <v>84</v>
      </c>
      <c r="G146" s="28">
        <f t="shared" si="4"/>
        <v>84</v>
      </c>
      <c r="H146" s="48">
        <v>0</v>
      </c>
      <c r="I146" s="33"/>
      <c r="J146" s="16"/>
      <c r="K146" s="18"/>
    </row>
    <row r="147" spans="2:11">
      <c r="B147" s="29" t="s">
        <v>152</v>
      </c>
      <c r="C147" s="30">
        <v>5411692676056</v>
      </c>
      <c r="D147" s="26">
        <v>3318369</v>
      </c>
      <c r="E147" s="27" t="s">
        <v>173</v>
      </c>
      <c r="F147" s="28">
        <v>29</v>
      </c>
      <c r="G147" s="28">
        <f t="shared" si="4"/>
        <v>29</v>
      </c>
      <c r="H147" s="48">
        <v>0</v>
      </c>
      <c r="I147" s="33"/>
      <c r="J147" s="16"/>
      <c r="K147" s="18"/>
    </row>
    <row r="148" spans="2:11">
      <c r="B148" s="29" t="s">
        <v>152</v>
      </c>
      <c r="C148" s="30">
        <v>5411692536077</v>
      </c>
      <c r="D148" s="26">
        <v>3318084</v>
      </c>
      <c r="E148" s="27" t="s">
        <v>174</v>
      </c>
      <c r="F148" s="28">
        <v>14</v>
      </c>
      <c r="G148" s="28">
        <f t="shared" si="4"/>
        <v>14</v>
      </c>
      <c r="H148" s="48">
        <v>0</v>
      </c>
      <c r="I148" s="33"/>
      <c r="J148" s="16"/>
      <c r="K148" s="18"/>
    </row>
    <row r="149" spans="2:11">
      <c r="B149" s="29" t="s">
        <v>152</v>
      </c>
      <c r="C149" s="30">
        <v>5411692536060</v>
      </c>
      <c r="D149" s="26">
        <v>3318085</v>
      </c>
      <c r="E149" s="27" t="s">
        <v>175</v>
      </c>
      <c r="F149" s="28">
        <v>24</v>
      </c>
      <c r="G149" s="28">
        <f t="shared" si="4"/>
        <v>24</v>
      </c>
      <c r="H149" s="48">
        <v>0</v>
      </c>
      <c r="I149" s="33"/>
      <c r="J149" s="16"/>
      <c r="K149" s="18"/>
    </row>
    <row r="150" spans="2:11">
      <c r="B150" s="29" t="s">
        <v>152</v>
      </c>
      <c r="C150" s="30">
        <v>5411692536053</v>
      </c>
      <c r="D150" s="26">
        <v>3318086</v>
      </c>
      <c r="E150" s="27" t="s">
        <v>176</v>
      </c>
      <c r="F150" s="28">
        <v>23</v>
      </c>
      <c r="G150" s="28">
        <f t="shared" si="4"/>
        <v>23</v>
      </c>
      <c r="H150" s="48">
        <v>0</v>
      </c>
      <c r="I150" s="33"/>
      <c r="J150" s="16"/>
      <c r="K150" s="18"/>
    </row>
    <row r="151" spans="2:11">
      <c r="B151" s="29" t="s">
        <v>152</v>
      </c>
      <c r="C151" s="30">
        <v>5411692526467</v>
      </c>
      <c r="D151" s="26">
        <v>3318028</v>
      </c>
      <c r="E151" s="27" t="s">
        <v>177</v>
      </c>
      <c r="F151" s="28">
        <v>6</v>
      </c>
      <c r="G151" s="28">
        <f t="shared" si="4"/>
        <v>6</v>
      </c>
      <c r="H151" s="48">
        <v>0</v>
      </c>
      <c r="I151" s="33"/>
      <c r="J151" s="16"/>
      <c r="K151" s="18"/>
    </row>
    <row r="152" spans="2:11">
      <c r="B152" s="29" t="s">
        <v>152</v>
      </c>
      <c r="C152" s="30">
        <v>5411692526474</v>
      </c>
      <c r="D152" s="26">
        <v>3318027</v>
      </c>
      <c r="E152" s="27" t="s">
        <v>178</v>
      </c>
      <c r="F152" s="28">
        <v>13</v>
      </c>
      <c r="G152" s="28">
        <f t="shared" si="4"/>
        <v>13</v>
      </c>
      <c r="H152" s="48">
        <v>0</v>
      </c>
      <c r="I152" s="34"/>
      <c r="J152" s="16"/>
      <c r="K152" s="18"/>
    </row>
    <row r="153" spans="2:11">
      <c r="B153" s="29" t="s">
        <v>152</v>
      </c>
      <c r="C153" s="30">
        <v>5411692526436</v>
      </c>
      <c r="D153" s="26">
        <v>3318031</v>
      </c>
      <c r="E153" s="27" t="s">
        <v>179</v>
      </c>
      <c r="F153" s="28">
        <v>28</v>
      </c>
      <c r="G153" s="28">
        <f t="shared" si="4"/>
        <v>28</v>
      </c>
      <c r="H153" s="48">
        <v>0</v>
      </c>
      <c r="I153" s="33"/>
      <c r="J153" s="16"/>
      <c r="K153" s="18"/>
    </row>
    <row r="154" spans="2:11">
      <c r="B154" s="29" t="s">
        <v>152</v>
      </c>
      <c r="C154" s="30">
        <v>5411692526429</v>
      </c>
      <c r="D154" s="26">
        <v>3318032</v>
      </c>
      <c r="E154" s="27" t="s">
        <v>180</v>
      </c>
      <c r="F154" s="28">
        <v>14</v>
      </c>
      <c r="G154" s="28">
        <f t="shared" si="4"/>
        <v>14</v>
      </c>
      <c r="H154" s="48">
        <v>0</v>
      </c>
      <c r="I154" s="33"/>
      <c r="J154" s="16"/>
      <c r="K154" s="18"/>
    </row>
    <row r="155" spans="2:11">
      <c r="B155" s="29" t="s">
        <v>181</v>
      </c>
      <c r="C155" s="30">
        <v>5414849269057</v>
      </c>
      <c r="D155" s="26">
        <v>3590279</v>
      </c>
      <c r="E155" s="27" t="s">
        <v>182</v>
      </c>
      <c r="F155" s="28">
        <v>120</v>
      </c>
      <c r="G155" s="28">
        <f t="shared" si="4"/>
        <v>120</v>
      </c>
      <c r="H155" s="48">
        <v>0</v>
      </c>
      <c r="I155" s="33"/>
      <c r="J155" s="16"/>
      <c r="K155" s="18"/>
    </row>
    <row r="156" spans="2:11">
      <c r="B156" s="29" t="s">
        <v>181</v>
      </c>
      <c r="C156" s="30">
        <v>5414849269064</v>
      </c>
      <c r="D156" s="26">
        <v>3590280</v>
      </c>
      <c r="E156" s="27" t="s">
        <v>183</v>
      </c>
      <c r="F156" s="28">
        <v>171</v>
      </c>
      <c r="G156" s="28">
        <f t="shared" si="4"/>
        <v>171</v>
      </c>
      <c r="H156" s="48">
        <v>0</v>
      </c>
      <c r="I156" s="33"/>
      <c r="J156" s="16"/>
      <c r="K156" s="18"/>
    </row>
    <row r="157" spans="2:11">
      <c r="B157" s="29" t="s">
        <v>181</v>
      </c>
      <c r="C157" s="30">
        <v>5414849269088</v>
      </c>
      <c r="D157" s="26">
        <v>3590283</v>
      </c>
      <c r="E157" s="27" t="s">
        <v>184</v>
      </c>
      <c r="F157" s="28">
        <v>61</v>
      </c>
      <c r="G157" s="28">
        <f t="shared" si="4"/>
        <v>61</v>
      </c>
      <c r="H157" s="48">
        <v>0</v>
      </c>
      <c r="I157" s="33"/>
      <c r="J157" s="16"/>
      <c r="K157" s="18"/>
    </row>
    <row r="158" spans="2:11">
      <c r="B158" s="29" t="s">
        <v>181</v>
      </c>
      <c r="C158" s="30">
        <v>5414849593329</v>
      </c>
      <c r="D158" s="26">
        <v>3726561</v>
      </c>
      <c r="E158" s="27" t="s">
        <v>185</v>
      </c>
      <c r="F158" s="28">
        <v>373</v>
      </c>
      <c r="G158" s="28">
        <f t="shared" si="4"/>
        <v>373</v>
      </c>
      <c r="H158" s="48">
        <v>0</v>
      </c>
      <c r="I158" s="33"/>
      <c r="J158" s="16"/>
      <c r="K158" s="18"/>
    </row>
    <row r="159" spans="2:11">
      <c r="B159" s="29" t="s">
        <v>181</v>
      </c>
      <c r="C159" s="30">
        <v>5414849593312</v>
      </c>
      <c r="D159" s="26">
        <v>3726562</v>
      </c>
      <c r="E159" s="27" t="s">
        <v>186</v>
      </c>
      <c r="F159" s="28">
        <v>492</v>
      </c>
      <c r="G159" s="28">
        <f t="shared" si="4"/>
        <v>492</v>
      </c>
      <c r="H159" s="48">
        <v>0</v>
      </c>
      <c r="I159" s="33"/>
      <c r="J159" s="16"/>
      <c r="K159" s="18"/>
    </row>
    <row r="160" spans="2:11">
      <c r="B160" s="29" t="s">
        <v>181</v>
      </c>
      <c r="C160" s="30">
        <v>5414849358393</v>
      </c>
      <c r="D160" s="26">
        <v>3590431</v>
      </c>
      <c r="E160" s="27" t="s">
        <v>187</v>
      </c>
      <c r="F160" s="28">
        <v>105</v>
      </c>
      <c r="G160" s="28">
        <f t="shared" si="4"/>
        <v>105</v>
      </c>
      <c r="H160" s="48">
        <v>0</v>
      </c>
      <c r="I160" s="33"/>
      <c r="J160" s="16"/>
      <c r="K160" s="18"/>
    </row>
    <row r="161" spans="2:11">
      <c r="B161" s="29" t="s">
        <v>181</v>
      </c>
      <c r="C161" s="30">
        <v>5414849358409</v>
      </c>
      <c r="D161" s="26">
        <v>3590432</v>
      </c>
      <c r="E161" s="27" t="s">
        <v>188</v>
      </c>
      <c r="F161" s="28">
        <v>73</v>
      </c>
      <c r="G161" s="28">
        <f t="shared" si="4"/>
        <v>73</v>
      </c>
      <c r="H161" s="48">
        <v>0</v>
      </c>
      <c r="I161" s="33"/>
      <c r="J161" s="16"/>
      <c r="K161" s="18"/>
    </row>
    <row r="162" spans="2:11">
      <c r="B162" s="29" t="s">
        <v>181</v>
      </c>
      <c r="C162" s="30">
        <v>5414849106369</v>
      </c>
      <c r="D162" s="26">
        <v>3580787</v>
      </c>
      <c r="E162" s="27" t="s">
        <v>189</v>
      </c>
      <c r="F162" s="28">
        <v>272</v>
      </c>
      <c r="G162" s="28">
        <f t="shared" si="4"/>
        <v>272</v>
      </c>
      <c r="H162" s="48">
        <v>0</v>
      </c>
      <c r="I162" s="33"/>
      <c r="J162" s="16"/>
      <c r="K162" s="18"/>
    </row>
    <row r="163" spans="2:11">
      <c r="B163" s="29" t="s">
        <v>181</v>
      </c>
      <c r="C163" s="30">
        <v>5414849358416</v>
      </c>
      <c r="D163" s="26">
        <v>3590435</v>
      </c>
      <c r="E163" s="27" t="s">
        <v>190</v>
      </c>
      <c r="F163" s="28">
        <v>383</v>
      </c>
      <c r="G163" s="28">
        <f t="shared" si="4"/>
        <v>383</v>
      </c>
      <c r="H163" s="48">
        <v>0</v>
      </c>
      <c r="I163" s="33"/>
      <c r="J163" s="16"/>
      <c r="K163" s="18"/>
    </row>
    <row r="164" spans="2:11">
      <c r="B164" s="29" t="s">
        <v>181</v>
      </c>
      <c r="C164" s="30">
        <v>5414849358423</v>
      </c>
      <c r="D164" s="26">
        <v>3590436</v>
      </c>
      <c r="E164" s="27" t="s">
        <v>191</v>
      </c>
      <c r="F164" s="28">
        <v>371</v>
      </c>
      <c r="G164" s="28">
        <f t="shared" si="4"/>
        <v>371</v>
      </c>
      <c r="H164" s="48">
        <v>0</v>
      </c>
      <c r="I164" s="33"/>
      <c r="J164" s="16"/>
      <c r="K164" s="18"/>
    </row>
    <row r="165" spans="2:11">
      <c r="B165" s="29" t="s">
        <v>181</v>
      </c>
      <c r="C165" s="30">
        <v>5414849358430</v>
      </c>
      <c r="D165" s="26">
        <v>3590437</v>
      </c>
      <c r="E165" s="27" t="s">
        <v>192</v>
      </c>
      <c r="F165" s="28">
        <v>372</v>
      </c>
      <c r="G165" s="28">
        <f t="shared" si="4"/>
        <v>372</v>
      </c>
      <c r="H165" s="48">
        <v>0</v>
      </c>
      <c r="I165" s="33"/>
      <c r="J165" s="16"/>
      <c r="K165" s="18"/>
    </row>
    <row r="166" spans="2:11">
      <c r="B166" s="29" t="s">
        <v>181</v>
      </c>
      <c r="C166" s="30">
        <v>5414849358447</v>
      </c>
      <c r="D166" s="26">
        <v>3590438</v>
      </c>
      <c r="E166" s="27" t="s">
        <v>193</v>
      </c>
      <c r="F166" s="28">
        <v>371</v>
      </c>
      <c r="G166" s="28">
        <f t="shared" si="4"/>
        <v>371</v>
      </c>
      <c r="H166" s="48">
        <v>0</v>
      </c>
      <c r="I166" s="33"/>
      <c r="J166" s="16"/>
      <c r="K166" s="18"/>
    </row>
    <row r="167" spans="2:11">
      <c r="B167" s="29" t="s">
        <v>181</v>
      </c>
      <c r="C167" s="30">
        <v>5414849358621</v>
      </c>
      <c r="D167" s="26">
        <v>3590433</v>
      </c>
      <c r="E167" s="27" t="s">
        <v>194</v>
      </c>
      <c r="F167" s="28">
        <v>122</v>
      </c>
      <c r="G167" s="28">
        <f t="shared" si="4"/>
        <v>122</v>
      </c>
      <c r="H167" s="48">
        <v>0</v>
      </c>
      <c r="I167" s="33"/>
      <c r="J167" s="16"/>
      <c r="K167" s="18"/>
    </row>
    <row r="168" spans="2:11">
      <c r="B168" s="29" t="s">
        <v>181</v>
      </c>
      <c r="C168" s="30">
        <v>5414849358638</v>
      </c>
      <c r="D168" s="26">
        <v>3590434</v>
      </c>
      <c r="E168" s="27" t="s">
        <v>195</v>
      </c>
      <c r="F168" s="28">
        <v>187</v>
      </c>
      <c r="G168" s="28">
        <f t="shared" si="4"/>
        <v>187</v>
      </c>
      <c r="H168" s="48">
        <v>0</v>
      </c>
      <c r="I168" s="33"/>
      <c r="J168" s="16"/>
      <c r="K168" s="18"/>
    </row>
    <row r="169" spans="2:11">
      <c r="B169" s="29" t="s">
        <v>181</v>
      </c>
      <c r="C169" s="30">
        <v>5414849268593</v>
      </c>
      <c r="D169" s="26">
        <v>3590335</v>
      </c>
      <c r="E169" s="27" t="s">
        <v>196</v>
      </c>
      <c r="F169" s="28">
        <v>238</v>
      </c>
      <c r="G169" s="28">
        <f t="shared" si="4"/>
        <v>238</v>
      </c>
      <c r="H169" s="48">
        <v>0</v>
      </c>
      <c r="I169" s="33"/>
      <c r="J169" s="16"/>
      <c r="K169" s="18"/>
    </row>
    <row r="170" spans="2:11">
      <c r="B170" s="29" t="s">
        <v>197</v>
      </c>
      <c r="C170" s="30">
        <v>5414849358485</v>
      </c>
      <c r="D170" s="26">
        <v>3590444</v>
      </c>
      <c r="E170" s="27" t="s">
        <v>198</v>
      </c>
      <c r="F170" s="28">
        <v>982</v>
      </c>
      <c r="G170" s="28">
        <f t="shared" si="4"/>
        <v>982</v>
      </c>
      <c r="H170" s="48">
        <v>0</v>
      </c>
      <c r="I170" s="33"/>
      <c r="J170" s="16"/>
      <c r="K170" s="18"/>
    </row>
    <row r="171" spans="2:11">
      <c r="B171" s="29" t="s">
        <v>197</v>
      </c>
      <c r="C171" s="30">
        <v>5414849358492</v>
      </c>
      <c r="D171" s="26">
        <v>3590445</v>
      </c>
      <c r="E171" s="27" t="s">
        <v>199</v>
      </c>
      <c r="F171" s="28">
        <v>1160</v>
      </c>
      <c r="G171" s="28">
        <f t="shared" si="4"/>
        <v>1160</v>
      </c>
      <c r="H171" s="48">
        <v>0</v>
      </c>
      <c r="I171" s="33"/>
      <c r="J171" s="16"/>
      <c r="K171" s="18"/>
    </row>
    <row r="172" spans="2:11">
      <c r="B172" s="29" t="s">
        <v>197</v>
      </c>
      <c r="C172" s="30">
        <v>5414849269446</v>
      </c>
      <c r="D172" s="26">
        <v>3590298</v>
      </c>
      <c r="E172" s="27" t="s">
        <v>200</v>
      </c>
      <c r="F172" s="28">
        <v>230</v>
      </c>
      <c r="G172" s="28">
        <f t="shared" si="4"/>
        <v>230</v>
      </c>
      <c r="H172" s="48">
        <v>0</v>
      </c>
      <c r="I172" s="33"/>
      <c r="J172" s="16"/>
      <c r="K172" s="18"/>
    </row>
    <row r="173" spans="2:11">
      <c r="B173" s="29" t="s">
        <v>197</v>
      </c>
      <c r="C173" s="30">
        <v>5414849269460</v>
      </c>
      <c r="D173" s="26">
        <v>3590300</v>
      </c>
      <c r="E173" s="27" t="s">
        <v>201</v>
      </c>
      <c r="F173" s="28">
        <v>371</v>
      </c>
      <c r="G173" s="28">
        <f t="shared" si="4"/>
        <v>371</v>
      </c>
      <c r="H173" s="48">
        <v>0</v>
      </c>
      <c r="I173" s="33"/>
      <c r="J173" s="16"/>
      <c r="K173" s="18"/>
    </row>
    <row r="174" spans="2:11">
      <c r="B174" s="29" t="s">
        <v>197</v>
      </c>
      <c r="C174" s="30">
        <v>5414849269453</v>
      </c>
      <c r="D174" s="26">
        <v>3590299</v>
      </c>
      <c r="E174" s="27" t="s">
        <v>202</v>
      </c>
      <c r="F174" s="28">
        <v>127</v>
      </c>
      <c r="G174" s="28">
        <f t="shared" si="4"/>
        <v>127</v>
      </c>
      <c r="H174" s="48">
        <v>0</v>
      </c>
      <c r="I174" s="33"/>
      <c r="J174" s="16"/>
      <c r="K174" s="18"/>
    </row>
    <row r="175" spans="2:11">
      <c r="B175" s="29" t="s">
        <v>197</v>
      </c>
      <c r="C175" s="30">
        <v>5414849269477</v>
      </c>
      <c r="D175" s="26">
        <v>3590301</v>
      </c>
      <c r="E175" s="27" t="s">
        <v>203</v>
      </c>
      <c r="F175" s="28">
        <v>196</v>
      </c>
      <c r="G175" s="28">
        <f t="shared" si="4"/>
        <v>196</v>
      </c>
      <c r="H175" s="48">
        <v>0</v>
      </c>
      <c r="I175" s="33"/>
      <c r="J175" s="16"/>
      <c r="K175" s="18"/>
    </row>
    <row r="176" spans="2:11">
      <c r="B176" s="29" t="s">
        <v>197</v>
      </c>
      <c r="C176" s="30">
        <v>5414849358652</v>
      </c>
      <c r="D176" s="26">
        <v>3590472</v>
      </c>
      <c r="E176" s="27" t="s">
        <v>204</v>
      </c>
      <c r="F176" s="28">
        <v>136</v>
      </c>
      <c r="G176" s="28">
        <f t="shared" si="4"/>
        <v>136</v>
      </c>
      <c r="H176" s="48">
        <v>0</v>
      </c>
      <c r="I176" s="33"/>
      <c r="J176" s="16"/>
      <c r="K176" s="18"/>
    </row>
    <row r="177" spans="2:11">
      <c r="B177" s="29" t="s">
        <v>197</v>
      </c>
      <c r="C177" s="30">
        <v>5414849358478</v>
      </c>
      <c r="D177" s="26">
        <v>3590443</v>
      </c>
      <c r="E177" s="27" t="s">
        <v>205</v>
      </c>
      <c r="F177" s="28">
        <v>156</v>
      </c>
      <c r="G177" s="28">
        <f t="shared" si="4"/>
        <v>156</v>
      </c>
      <c r="H177" s="48">
        <v>0</v>
      </c>
      <c r="I177" s="33"/>
      <c r="J177" s="16"/>
      <c r="K177" s="18"/>
    </row>
    <row r="178" spans="2:11">
      <c r="B178" s="29" t="s">
        <v>197</v>
      </c>
      <c r="C178" s="30">
        <v>5414849268845</v>
      </c>
      <c r="D178" s="26">
        <v>3590253</v>
      </c>
      <c r="E178" s="27" t="s">
        <v>206</v>
      </c>
      <c r="F178" s="28">
        <v>408</v>
      </c>
      <c r="G178" s="28">
        <f t="shared" si="4"/>
        <v>408</v>
      </c>
      <c r="H178" s="48">
        <v>0</v>
      </c>
      <c r="I178" s="33"/>
      <c r="J178" s="16"/>
      <c r="K178" s="18"/>
    </row>
    <row r="179" spans="2:11">
      <c r="B179" s="29" t="s">
        <v>197</v>
      </c>
      <c r="C179" s="30">
        <v>5414849268852</v>
      </c>
      <c r="D179" s="26">
        <v>3590254</v>
      </c>
      <c r="E179" s="27" t="s">
        <v>207</v>
      </c>
      <c r="F179" s="28">
        <v>501</v>
      </c>
      <c r="G179" s="28">
        <f t="shared" si="4"/>
        <v>501</v>
      </c>
      <c r="H179" s="48">
        <v>0</v>
      </c>
      <c r="I179" s="33"/>
      <c r="J179" s="16"/>
      <c r="K179" s="18"/>
    </row>
    <row r="180" spans="2:11">
      <c r="B180" s="29" t="s">
        <v>197</v>
      </c>
      <c r="C180" s="30">
        <v>5414849268869</v>
      </c>
      <c r="D180" s="26">
        <v>3590255</v>
      </c>
      <c r="E180" s="27" t="s">
        <v>208</v>
      </c>
      <c r="F180" s="28">
        <v>437</v>
      </c>
      <c r="G180" s="28">
        <f t="shared" si="4"/>
        <v>437</v>
      </c>
      <c r="H180" s="48">
        <v>0</v>
      </c>
      <c r="I180" s="33"/>
      <c r="J180" s="16"/>
      <c r="K180" s="18"/>
    </row>
    <row r="181" spans="2:11">
      <c r="B181" s="29" t="s">
        <v>197</v>
      </c>
      <c r="C181" s="30">
        <v>5414849268876</v>
      </c>
      <c r="D181" s="26">
        <v>3590256</v>
      </c>
      <c r="E181" s="27" t="s">
        <v>209</v>
      </c>
      <c r="F181" s="28">
        <v>554</v>
      </c>
      <c r="G181" s="28">
        <f t="shared" si="4"/>
        <v>554</v>
      </c>
      <c r="H181" s="48">
        <v>0</v>
      </c>
      <c r="I181" s="33"/>
      <c r="J181" s="16"/>
      <c r="K181" s="18"/>
    </row>
    <row r="182" spans="2:11">
      <c r="B182" s="29" t="s">
        <v>197</v>
      </c>
      <c r="C182" s="30">
        <v>5414849268982</v>
      </c>
      <c r="D182" s="26">
        <v>3590267</v>
      </c>
      <c r="E182" s="27" t="s">
        <v>210</v>
      </c>
      <c r="F182" s="28">
        <v>382</v>
      </c>
      <c r="G182" s="28">
        <f t="shared" si="4"/>
        <v>382</v>
      </c>
      <c r="H182" s="48">
        <v>0</v>
      </c>
      <c r="I182" s="33"/>
      <c r="J182" s="16"/>
      <c r="K182" s="18"/>
    </row>
    <row r="183" spans="2:11">
      <c r="B183" s="29" t="s">
        <v>197</v>
      </c>
      <c r="C183" s="30">
        <v>5414849268999</v>
      </c>
      <c r="D183" s="26">
        <v>3590268</v>
      </c>
      <c r="E183" s="27" t="s">
        <v>211</v>
      </c>
      <c r="F183" s="28">
        <v>520</v>
      </c>
      <c r="G183" s="28">
        <f t="shared" si="4"/>
        <v>520</v>
      </c>
      <c r="H183" s="48">
        <v>0</v>
      </c>
      <c r="I183" s="33"/>
      <c r="J183" s="16"/>
      <c r="K183" s="18"/>
    </row>
    <row r="184" spans="2:11">
      <c r="B184" s="29" t="s">
        <v>197</v>
      </c>
      <c r="C184" s="30">
        <v>5414849269002</v>
      </c>
      <c r="D184" s="26">
        <v>3590269</v>
      </c>
      <c r="E184" s="27" t="s">
        <v>212</v>
      </c>
      <c r="F184" s="28">
        <v>235</v>
      </c>
      <c r="G184" s="28">
        <f t="shared" si="4"/>
        <v>235</v>
      </c>
      <c r="H184" s="48">
        <v>0</v>
      </c>
      <c r="I184" s="33"/>
      <c r="J184" s="16"/>
      <c r="K184" s="18"/>
    </row>
    <row r="185" spans="2:11">
      <c r="B185" s="29" t="s">
        <v>197</v>
      </c>
      <c r="C185" s="30">
        <v>5414849269019</v>
      </c>
      <c r="D185" s="26">
        <v>3590270</v>
      </c>
      <c r="E185" s="27" t="s">
        <v>213</v>
      </c>
      <c r="F185" s="28">
        <v>264</v>
      </c>
      <c r="G185" s="28">
        <f t="shared" si="4"/>
        <v>264</v>
      </c>
      <c r="H185" s="48">
        <v>0</v>
      </c>
      <c r="I185" s="33"/>
      <c r="J185" s="16"/>
      <c r="K185" s="18"/>
    </row>
    <row r="186" spans="2:11">
      <c r="B186" s="29" t="s">
        <v>197</v>
      </c>
      <c r="C186" s="30">
        <v>5414849269026</v>
      </c>
      <c r="D186" s="26">
        <v>3590271</v>
      </c>
      <c r="E186" s="27" t="s">
        <v>214</v>
      </c>
      <c r="F186" s="28">
        <v>43</v>
      </c>
      <c r="G186" s="28">
        <f t="shared" si="4"/>
        <v>43</v>
      </c>
      <c r="H186" s="48">
        <v>0</v>
      </c>
      <c r="I186" s="33"/>
      <c r="J186" s="16"/>
      <c r="K186" s="18"/>
    </row>
    <row r="187" spans="2:11">
      <c r="B187" s="29" t="s">
        <v>197</v>
      </c>
      <c r="C187" s="30">
        <v>5414849269033</v>
      </c>
      <c r="D187" s="26">
        <v>3590272</v>
      </c>
      <c r="E187" s="27" t="s">
        <v>215</v>
      </c>
      <c r="F187" s="28">
        <v>69</v>
      </c>
      <c r="G187" s="28">
        <f t="shared" si="4"/>
        <v>69</v>
      </c>
      <c r="H187" s="48">
        <v>0</v>
      </c>
      <c r="I187" s="33"/>
      <c r="J187" s="16"/>
      <c r="K187" s="18"/>
    </row>
    <row r="188" spans="2:11">
      <c r="B188" s="29" t="s">
        <v>197</v>
      </c>
      <c r="C188" s="30">
        <v>5414849358508</v>
      </c>
      <c r="D188" s="26">
        <v>3590446</v>
      </c>
      <c r="E188" s="27" t="s">
        <v>216</v>
      </c>
      <c r="F188" s="28">
        <v>594</v>
      </c>
      <c r="G188" s="28">
        <f t="shared" si="4"/>
        <v>594</v>
      </c>
      <c r="H188" s="48">
        <v>0</v>
      </c>
      <c r="I188" s="33"/>
      <c r="J188" s="16"/>
      <c r="K188" s="18"/>
    </row>
    <row r="189" spans="2:11">
      <c r="B189" s="29" t="s">
        <v>197</v>
      </c>
      <c r="C189" s="30">
        <v>5414849358515</v>
      </c>
      <c r="D189" s="26">
        <v>3590447</v>
      </c>
      <c r="E189" s="27" t="s">
        <v>217</v>
      </c>
      <c r="F189" s="28">
        <v>638</v>
      </c>
      <c r="G189" s="28">
        <f t="shared" si="4"/>
        <v>638</v>
      </c>
      <c r="H189" s="48">
        <v>0</v>
      </c>
      <c r="I189" s="33"/>
      <c r="J189" s="16"/>
      <c r="K189" s="18"/>
    </row>
    <row r="190" spans="2:11">
      <c r="B190" s="29" t="s">
        <v>218</v>
      </c>
      <c r="C190" s="30">
        <v>5414849358546</v>
      </c>
      <c r="D190" s="26">
        <v>3590456</v>
      </c>
      <c r="E190" s="27" t="s">
        <v>219</v>
      </c>
      <c r="F190" s="28">
        <v>389</v>
      </c>
      <c r="G190" s="28">
        <f t="shared" si="4"/>
        <v>389</v>
      </c>
      <c r="H190" s="48">
        <v>0</v>
      </c>
      <c r="I190" s="33"/>
      <c r="J190" s="16"/>
      <c r="K190" s="18"/>
    </row>
    <row r="191" spans="2:11">
      <c r="B191" s="29" t="s">
        <v>218</v>
      </c>
      <c r="C191" s="30">
        <v>5414849358553</v>
      </c>
      <c r="D191" s="26">
        <v>3590457</v>
      </c>
      <c r="E191" s="27" t="s">
        <v>220</v>
      </c>
      <c r="F191" s="28">
        <v>605</v>
      </c>
      <c r="G191" s="28">
        <f t="shared" si="4"/>
        <v>605</v>
      </c>
      <c r="H191" s="48">
        <v>0</v>
      </c>
      <c r="I191" s="33"/>
      <c r="J191" s="16"/>
      <c r="K191" s="18"/>
    </row>
    <row r="192" spans="2:11">
      <c r="B192" s="29" t="s">
        <v>218</v>
      </c>
      <c r="C192" s="30">
        <v>5414849358560</v>
      </c>
      <c r="D192" s="26">
        <v>3590458</v>
      </c>
      <c r="E192" s="27" t="s">
        <v>221</v>
      </c>
      <c r="F192" s="28">
        <v>500</v>
      </c>
      <c r="G192" s="28">
        <f t="shared" si="4"/>
        <v>500</v>
      </c>
      <c r="H192" s="48">
        <v>0</v>
      </c>
      <c r="I192" s="33"/>
      <c r="J192" s="16"/>
      <c r="K192" s="18"/>
    </row>
    <row r="193" spans="2:11">
      <c r="B193" s="29" t="s">
        <v>218</v>
      </c>
      <c r="C193" s="30">
        <v>5414849358584</v>
      </c>
      <c r="D193" s="26">
        <v>3590470</v>
      </c>
      <c r="E193" s="27" t="s">
        <v>222</v>
      </c>
      <c r="F193" s="28">
        <v>910</v>
      </c>
      <c r="G193" s="28">
        <f t="shared" si="4"/>
        <v>910</v>
      </c>
      <c r="H193" s="48">
        <v>0</v>
      </c>
      <c r="I193" s="33"/>
      <c r="J193" s="16"/>
      <c r="K193" s="18"/>
    </row>
    <row r="194" spans="2:11">
      <c r="B194" s="29" t="s">
        <v>218</v>
      </c>
      <c r="C194" s="30">
        <v>5414849358577</v>
      </c>
      <c r="D194" s="26">
        <v>3590459</v>
      </c>
      <c r="E194" s="27" t="s">
        <v>223</v>
      </c>
      <c r="F194" s="28">
        <v>553</v>
      </c>
      <c r="G194" s="28">
        <f t="shared" si="4"/>
        <v>553</v>
      </c>
      <c r="H194" s="48">
        <v>0</v>
      </c>
      <c r="I194" s="33"/>
      <c r="J194" s="16"/>
      <c r="K194" s="18"/>
    </row>
    <row r="195" spans="2:11">
      <c r="B195" s="29" t="s">
        <v>218</v>
      </c>
      <c r="C195" s="30">
        <v>5414849358591</v>
      </c>
      <c r="D195" s="26">
        <v>3590471</v>
      </c>
      <c r="E195" s="27" t="s">
        <v>224</v>
      </c>
      <c r="F195" s="28">
        <v>846</v>
      </c>
      <c r="G195" s="28">
        <f t="shared" ref="G195:G261" si="5">ROUND(F195+(F195*H195),0)</f>
        <v>846</v>
      </c>
      <c r="H195" s="48">
        <v>0</v>
      </c>
      <c r="I195" s="33"/>
      <c r="J195" s="16"/>
      <c r="K195" s="18"/>
    </row>
    <row r="196" spans="2:11">
      <c r="B196" s="29" t="s">
        <v>225</v>
      </c>
      <c r="C196" s="30">
        <v>5414849992252</v>
      </c>
      <c r="D196" s="26" t="s">
        <v>226</v>
      </c>
      <c r="E196" s="27" t="s">
        <v>227</v>
      </c>
      <c r="F196" s="28">
        <v>546</v>
      </c>
      <c r="G196" s="28">
        <f t="shared" si="5"/>
        <v>546</v>
      </c>
      <c r="H196" s="48">
        <v>0</v>
      </c>
      <c r="I196" s="33"/>
      <c r="J196" s="16"/>
      <c r="K196" s="18"/>
    </row>
    <row r="197" spans="2:11">
      <c r="B197" s="29" t="s">
        <v>225</v>
      </c>
      <c r="C197" s="30">
        <v>5414849992276</v>
      </c>
      <c r="D197" s="26">
        <v>3590865</v>
      </c>
      <c r="E197" s="27" t="s">
        <v>228</v>
      </c>
      <c r="F197" s="28">
        <v>643</v>
      </c>
      <c r="G197" s="28">
        <f t="shared" si="5"/>
        <v>643</v>
      </c>
      <c r="H197" s="48">
        <v>0</v>
      </c>
      <c r="I197" s="33"/>
      <c r="J197" s="16"/>
      <c r="K197" s="18"/>
    </row>
    <row r="198" spans="2:11">
      <c r="B198" s="29" t="s">
        <v>225</v>
      </c>
      <c r="C198" s="30" t="s">
        <v>229</v>
      </c>
      <c r="D198" s="26">
        <v>3590868</v>
      </c>
      <c r="E198" s="27" t="s">
        <v>230</v>
      </c>
      <c r="F198" s="28">
        <v>317</v>
      </c>
      <c r="G198" s="28">
        <f t="shared" si="5"/>
        <v>317</v>
      </c>
      <c r="H198" s="48">
        <v>0</v>
      </c>
      <c r="I198" s="33"/>
      <c r="J198" s="16"/>
      <c r="K198" s="18"/>
    </row>
    <row r="199" spans="2:11">
      <c r="B199" s="29" t="s">
        <v>225</v>
      </c>
      <c r="C199" s="30">
        <v>5414849336797</v>
      </c>
      <c r="D199" s="26">
        <v>3318642</v>
      </c>
      <c r="E199" s="27" t="s">
        <v>231</v>
      </c>
      <c r="F199" s="28">
        <v>41</v>
      </c>
      <c r="G199" s="28">
        <f t="shared" si="5"/>
        <v>41</v>
      </c>
      <c r="H199" s="48">
        <v>0</v>
      </c>
      <c r="I199" s="33"/>
      <c r="J199" s="16"/>
      <c r="K199" s="18"/>
    </row>
    <row r="200" spans="2:11">
      <c r="B200" s="29" t="s">
        <v>225</v>
      </c>
      <c r="C200" s="30">
        <v>5414849168435</v>
      </c>
      <c r="D200" s="26">
        <v>171237</v>
      </c>
      <c r="E200" s="27" t="s">
        <v>232</v>
      </c>
      <c r="F200" s="28">
        <v>28</v>
      </c>
      <c r="G200" s="28">
        <f t="shared" si="5"/>
        <v>28</v>
      </c>
      <c r="H200" s="48">
        <v>0</v>
      </c>
      <c r="I200" s="33"/>
      <c r="J200" s="16"/>
      <c r="K200" s="18"/>
    </row>
    <row r="201" spans="2:11">
      <c r="B201" s="29" t="s">
        <v>225</v>
      </c>
      <c r="C201" s="30">
        <v>5414849001619</v>
      </c>
      <c r="D201" s="26">
        <v>12081759</v>
      </c>
      <c r="E201" s="27" t="s">
        <v>233</v>
      </c>
      <c r="F201" s="28">
        <v>68</v>
      </c>
      <c r="G201" s="28">
        <f t="shared" si="5"/>
        <v>68</v>
      </c>
      <c r="H201" s="48">
        <v>0</v>
      </c>
      <c r="I201" s="33"/>
      <c r="J201" s="16"/>
      <c r="K201" s="18"/>
    </row>
    <row r="202" spans="2:11">
      <c r="B202" s="29" t="s">
        <v>225</v>
      </c>
      <c r="C202" s="30">
        <v>5414849882355</v>
      </c>
      <c r="D202" s="26">
        <v>3590824</v>
      </c>
      <c r="E202" s="27" t="s">
        <v>234</v>
      </c>
      <c r="F202" s="28">
        <v>223</v>
      </c>
      <c r="G202" s="28">
        <f t="shared" si="5"/>
        <v>223</v>
      </c>
      <c r="H202" s="48">
        <v>0</v>
      </c>
      <c r="I202" s="33"/>
      <c r="J202" s="16"/>
      <c r="K202" s="18"/>
    </row>
    <row r="203" spans="2:11">
      <c r="B203" s="29" t="s">
        <v>225</v>
      </c>
      <c r="C203" s="30">
        <v>5414849168459</v>
      </c>
      <c r="D203" s="26">
        <v>11002600</v>
      </c>
      <c r="E203" s="27" t="s">
        <v>235</v>
      </c>
      <c r="F203" s="28">
        <v>47</v>
      </c>
      <c r="G203" s="28">
        <f t="shared" si="5"/>
        <v>47</v>
      </c>
      <c r="H203" s="48">
        <v>0</v>
      </c>
      <c r="I203" s="33"/>
      <c r="J203" s="16"/>
      <c r="K203" s="18"/>
    </row>
    <row r="204" spans="2:11">
      <c r="B204" s="29" t="s">
        <v>225</v>
      </c>
      <c r="C204" s="30">
        <v>5414849881136</v>
      </c>
      <c r="D204" s="26">
        <v>3590823</v>
      </c>
      <c r="E204" s="27" t="s">
        <v>236</v>
      </c>
      <c r="F204" s="28">
        <v>174</v>
      </c>
      <c r="G204" s="28">
        <f t="shared" si="5"/>
        <v>174</v>
      </c>
      <c r="H204" s="48">
        <v>0</v>
      </c>
      <c r="I204" s="33"/>
      <c r="J204" s="16"/>
      <c r="K204" s="18"/>
    </row>
    <row r="205" spans="2:11">
      <c r="B205" s="29" t="s">
        <v>237</v>
      </c>
      <c r="C205" s="30">
        <v>5411692536008</v>
      </c>
      <c r="D205" s="26">
        <v>3318091</v>
      </c>
      <c r="E205" s="27" t="s">
        <v>238</v>
      </c>
      <c r="F205" s="28">
        <v>40</v>
      </c>
      <c r="G205" s="28">
        <f t="shared" si="5"/>
        <v>40</v>
      </c>
      <c r="H205" s="48">
        <v>0</v>
      </c>
      <c r="I205" s="33"/>
      <c r="J205" s="16"/>
      <c r="K205" s="18"/>
    </row>
    <row r="206" spans="2:11">
      <c r="B206" s="29" t="s">
        <v>237</v>
      </c>
      <c r="C206" s="30">
        <v>5411692682477</v>
      </c>
      <c r="D206" s="26">
        <v>3318188</v>
      </c>
      <c r="E206" s="27" t="s">
        <v>239</v>
      </c>
      <c r="F206" s="28">
        <v>84</v>
      </c>
      <c r="G206" s="28">
        <f t="shared" si="5"/>
        <v>84</v>
      </c>
      <c r="H206" s="48">
        <v>0</v>
      </c>
      <c r="I206" s="33"/>
      <c r="J206" s="16"/>
      <c r="K206" s="18"/>
    </row>
    <row r="207" spans="2:11">
      <c r="B207" s="29" t="s">
        <v>237</v>
      </c>
      <c r="C207" s="30">
        <v>5414849071230</v>
      </c>
      <c r="D207" s="26">
        <v>12076281</v>
      </c>
      <c r="E207" s="27" t="s">
        <v>240</v>
      </c>
      <c r="F207" s="28">
        <v>155</v>
      </c>
      <c r="G207" s="28">
        <f t="shared" si="5"/>
        <v>155</v>
      </c>
      <c r="H207" s="48">
        <v>0</v>
      </c>
      <c r="I207" s="33"/>
      <c r="J207" s="16"/>
      <c r="K207" s="18"/>
    </row>
    <row r="208" spans="2:11">
      <c r="B208" s="29" t="s">
        <v>237</v>
      </c>
      <c r="C208" s="30">
        <v>5414849151000</v>
      </c>
      <c r="D208" s="26">
        <v>3590224</v>
      </c>
      <c r="E208" s="27" t="s">
        <v>241</v>
      </c>
      <c r="F208" s="28">
        <v>69</v>
      </c>
      <c r="G208" s="28">
        <f t="shared" si="5"/>
        <v>69</v>
      </c>
      <c r="H208" s="48">
        <v>0</v>
      </c>
      <c r="I208" s="33"/>
      <c r="J208" s="16"/>
      <c r="K208" s="18"/>
    </row>
    <row r="209" spans="2:11">
      <c r="B209" s="29" t="s">
        <v>237</v>
      </c>
      <c r="C209" s="30">
        <v>5414849151024</v>
      </c>
      <c r="D209" s="26">
        <v>3590226</v>
      </c>
      <c r="E209" s="27" t="s">
        <v>242</v>
      </c>
      <c r="F209" s="28">
        <v>67</v>
      </c>
      <c r="G209" s="28">
        <f t="shared" si="5"/>
        <v>67</v>
      </c>
      <c r="H209" s="48">
        <v>0</v>
      </c>
      <c r="I209" s="33"/>
      <c r="J209" s="16"/>
      <c r="K209" s="18"/>
    </row>
    <row r="210" spans="2:11">
      <c r="B210" s="29" t="s">
        <v>237</v>
      </c>
      <c r="C210" s="30">
        <v>5414849151031</v>
      </c>
      <c r="D210" s="26">
        <v>3590227</v>
      </c>
      <c r="E210" s="27" t="s">
        <v>243</v>
      </c>
      <c r="F210" s="28">
        <v>64</v>
      </c>
      <c r="G210" s="28">
        <f t="shared" si="5"/>
        <v>64</v>
      </c>
      <c r="H210" s="48">
        <v>0</v>
      </c>
      <c r="I210" s="33"/>
      <c r="J210" s="16"/>
      <c r="K210" s="18"/>
    </row>
    <row r="211" spans="2:11">
      <c r="B211" s="29" t="s">
        <v>237</v>
      </c>
      <c r="C211" s="30">
        <v>5414849151048</v>
      </c>
      <c r="D211" s="26">
        <v>3590228</v>
      </c>
      <c r="E211" s="27" t="s">
        <v>244</v>
      </c>
      <c r="F211" s="28">
        <v>156</v>
      </c>
      <c r="G211" s="28">
        <f t="shared" si="5"/>
        <v>156</v>
      </c>
      <c r="H211" s="48">
        <v>0</v>
      </c>
      <c r="I211" s="33"/>
      <c r="J211" s="16"/>
      <c r="K211" s="18"/>
    </row>
    <row r="212" spans="2:11">
      <c r="B212" s="29" t="s">
        <v>237</v>
      </c>
      <c r="C212" s="30">
        <v>5414849151055</v>
      </c>
      <c r="D212" s="26">
        <v>3590229</v>
      </c>
      <c r="E212" s="27" t="s">
        <v>245</v>
      </c>
      <c r="F212" s="28">
        <v>109</v>
      </c>
      <c r="G212" s="28">
        <f t="shared" si="5"/>
        <v>109</v>
      </c>
      <c r="H212" s="48">
        <v>0</v>
      </c>
      <c r="I212" s="33"/>
      <c r="J212" s="16"/>
      <c r="K212" s="18"/>
    </row>
    <row r="213" spans="2:11">
      <c r="B213" s="29" t="s">
        <v>237</v>
      </c>
      <c r="C213" s="30">
        <v>5414849046481</v>
      </c>
      <c r="D213" s="26">
        <v>3580784</v>
      </c>
      <c r="E213" s="27" t="s">
        <v>246</v>
      </c>
      <c r="F213" s="28">
        <v>73</v>
      </c>
      <c r="G213" s="28">
        <f t="shared" si="5"/>
        <v>73</v>
      </c>
      <c r="H213" s="48">
        <v>0</v>
      </c>
      <c r="I213" s="33"/>
      <c r="J213" s="16"/>
      <c r="K213" s="18"/>
    </row>
    <row r="214" spans="2:11">
      <c r="B214" s="29" t="s">
        <v>237</v>
      </c>
      <c r="C214" s="30">
        <v>5414849151062</v>
      </c>
      <c r="D214" s="26">
        <v>3590230</v>
      </c>
      <c r="E214" s="27" t="s">
        <v>247</v>
      </c>
      <c r="F214" s="28">
        <v>50</v>
      </c>
      <c r="G214" s="28">
        <f t="shared" si="5"/>
        <v>50</v>
      </c>
      <c r="H214" s="48">
        <v>0</v>
      </c>
      <c r="I214" s="33"/>
      <c r="J214" s="16"/>
      <c r="K214" s="18"/>
    </row>
    <row r="215" spans="2:11">
      <c r="B215" s="29" t="s">
        <v>237</v>
      </c>
      <c r="C215" s="30">
        <v>5414849151079</v>
      </c>
      <c r="D215" s="26">
        <v>3590231</v>
      </c>
      <c r="E215" s="27" t="s">
        <v>248</v>
      </c>
      <c r="F215" s="28">
        <v>46</v>
      </c>
      <c r="G215" s="28">
        <f t="shared" si="5"/>
        <v>46</v>
      </c>
      <c r="H215" s="48">
        <v>0</v>
      </c>
      <c r="I215" s="33"/>
      <c r="J215" s="16"/>
      <c r="K215" s="18"/>
    </row>
    <row r="216" spans="2:11">
      <c r="B216" s="29" t="s">
        <v>237</v>
      </c>
      <c r="C216" s="30">
        <v>5414849151093</v>
      </c>
      <c r="D216" s="26">
        <v>3590233</v>
      </c>
      <c r="E216" s="27" t="s">
        <v>249</v>
      </c>
      <c r="F216" s="28">
        <v>33</v>
      </c>
      <c r="G216" s="28">
        <f t="shared" si="5"/>
        <v>33</v>
      </c>
      <c r="H216" s="48">
        <v>0</v>
      </c>
      <c r="I216" s="33"/>
      <c r="J216" s="16"/>
      <c r="K216" s="18"/>
    </row>
    <row r="217" spans="2:11">
      <c r="B217" s="29" t="s">
        <v>237</v>
      </c>
      <c r="C217" s="30">
        <v>5414849151109</v>
      </c>
      <c r="D217" s="26">
        <v>3590234</v>
      </c>
      <c r="E217" s="27" t="s">
        <v>250</v>
      </c>
      <c r="F217" s="28">
        <v>24</v>
      </c>
      <c r="G217" s="28">
        <f t="shared" si="5"/>
        <v>24</v>
      </c>
      <c r="H217" s="48">
        <v>0</v>
      </c>
      <c r="I217" s="33"/>
      <c r="J217" s="16"/>
      <c r="K217" s="18"/>
    </row>
    <row r="218" spans="2:11">
      <c r="B218" s="29" t="s">
        <v>237</v>
      </c>
      <c r="C218" s="30">
        <v>5414849151116</v>
      </c>
      <c r="D218" s="26">
        <v>3590235</v>
      </c>
      <c r="E218" s="27" t="s">
        <v>251</v>
      </c>
      <c r="F218" s="28">
        <v>210</v>
      </c>
      <c r="G218" s="28">
        <f t="shared" si="5"/>
        <v>210</v>
      </c>
      <c r="H218" s="48">
        <v>0</v>
      </c>
      <c r="I218" s="33"/>
      <c r="J218" s="16"/>
      <c r="K218" s="18"/>
    </row>
    <row r="219" spans="2:11">
      <c r="B219" s="29" t="s">
        <v>237</v>
      </c>
      <c r="C219" s="30">
        <v>5414849151123</v>
      </c>
      <c r="D219" s="26">
        <v>3590236</v>
      </c>
      <c r="E219" s="27" t="s">
        <v>252</v>
      </c>
      <c r="F219" s="28">
        <v>70</v>
      </c>
      <c r="G219" s="28">
        <f t="shared" si="5"/>
        <v>70</v>
      </c>
      <c r="H219" s="48">
        <v>0</v>
      </c>
      <c r="I219" s="33"/>
      <c r="J219" s="16"/>
      <c r="K219" s="18"/>
    </row>
    <row r="220" spans="2:11">
      <c r="B220" s="29" t="s">
        <v>237</v>
      </c>
      <c r="C220" s="30">
        <v>5414849151130</v>
      </c>
      <c r="D220" s="26">
        <v>3590237</v>
      </c>
      <c r="E220" s="27" t="s">
        <v>253</v>
      </c>
      <c r="F220" s="28">
        <v>25</v>
      </c>
      <c r="G220" s="28">
        <f t="shared" si="5"/>
        <v>25</v>
      </c>
      <c r="H220" s="48">
        <v>0</v>
      </c>
      <c r="I220" s="33"/>
      <c r="J220" s="16"/>
      <c r="K220" s="18"/>
    </row>
    <row r="221" spans="2:11">
      <c r="B221" s="29" t="s">
        <v>237</v>
      </c>
      <c r="C221" s="30">
        <v>5414849151147</v>
      </c>
      <c r="D221" s="26">
        <v>3590238</v>
      </c>
      <c r="E221" s="27" t="s">
        <v>254</v>
      </c>
      <c r="F221" s="28">
        <v>50</v>
      </c>
      <c r="G221" s="28">
        <f t="shared" si="5"/>
        <v>50</v>
      </c>
      <c r="H221" s="48">
        <v>0</v>
      </c>
      <c r="I221" s="33"/>
      <c r="J221" s="16"/>
      <c r="K221" s="18"/>
    </row>
    <row r="222" spans="2:11">
      <c r="B222" s="29" t="s">
        <v>237</v>
      </c>
      <c r="C222" s="30">
        <v>5414849151154</v>
      </c>
      <c r="D222" s="26">
        <v>3590239</v>
      </c>
      <c r="E222" s="27" t="s">
        <v>255</v>
      </c>
      <c r="F222" s="28">
        <v>45</v>
      </c>
      <c r="G222" s="28">
        <f t="shared" si="5"/>
        <v>45</v>
      </c>
      <c r="H222" s="48">
        <v>0</v>
      </c>
      <c r="I222" s="33"/>
      <c r="J222" s="16"/>
      <c r="K222" s="18"/>
    </row>
    <row r="223" spans="2:11">
      <c r="B223" s="29" t="s">
        <v>237</v>
      </c>
      <c r="C223" s="30">
        <v>5414849151161</v>
      </c>
      <c r="D223" s="26">
        <v>3590240</v>
      </c>
      <c r="E223" s="27" t="s">
        <v>256</v>
      </c>
      <c r="F223" s="28">
        <v>44</v>
      </c>
      <c r="G223" s="28">
        <f t="shared" si="5"/>
        <v>44</v>
      </c>
      <c r="H223" s="48">
        <v>0</v>
      </c>
      <c r="I223" s="33"/>
      <c r="J223" s="16"/>
      <c r="K223" s="18"/>
    </row>
    <row r="224" spans="2:11">
      <c r="B224" s="29" t="s">
        <v>237</v>
      </c>
      <c r="C224" s="30">
        <v>5414849151178</v>
      </c>
      <c r="D224" s="26">
        <v>3590241</v>
      </c>
      <c r="E224" s="27" t="s">
        <v>257</v>
      </c>
      <c r="F224" s="28">
        <v>72</v>
      </c>
      <c r="G224" s="28">
        <f t="shared" si="5"/>
        <v>72</v>
      </c>
      <c r="H224" s="48">
        <v>0</v>
      </c>
      <c r="I224" s="33"/>
      <c r="J224" s="16"/>
      <c r="K224" s="18"/>
    </row>
    <row r="225" spans="2:11">
      <c r="B225" s="29" t="s">
        <v>237</v>
      </c>
      <c r="C225" s="30">
        <v>5414849358706</v>
      </c>
      <c r="D225" s="26">
        <v>3590461</v>
      </c>
      <c r="E225" s="27" t="s">
        <v>258</v>
      </c>
      <c r="F225" s="28">
        <v>356</v>
      </c>
      <c r="G225" s="28">
        <f t="shared" si="5"/>
        <v>356</v>
      </c>
      <c r="H225" s="48">
        <v>0</v>
      </c>
      <c r="I225" s="33"/>
      <c r="J225" s="16"/>
      <c r="K225" s="18"/>
    </row>
    <row r="226" spans="2:11">
      <c r="B226" s="29" t="s">
        <v>237</v>
      </c>
      <c r="C226" s="30">
        <v>5414849358720</v>
      </c>
      <c r="D226" s="26">
        <v>3590464</v>
      </c>
      <c r="E226" s="27" t="s">
        <v>259</v>
      </c>
      <c r="F226" s="28">
        <v>459</v>
      </c>
      <c r="G226" s="28">
        <f t="shared" si="5"/>
        <v>459</v>
      </c>
      <c r="H226" s="48">
        <v>0</v>
      </c>
      <c r="I226" s="33"/>
      <c r="J226" s="16"/>
      <c r="K226" s="18"/>
    </row>
    <row r="227" spans="2:11">
      <c r="B227" s="29" t="s">
        <v>237</v>
      </c>
      <c r="C227" s="30">
        <v>5414849358713</v>
      </c>
      <c r="D227" s="26">
        <v>3590463</v>
      </c>
      <c r="E227" s="27" t="s">
        <v>260</v>
      </c>
      <c r="F227" s="28">
        <v>150</v>
      </c>
      <c r="G227" s="28">
        <f t="shared" si="5"/>
        <v>150</v>
      </c>
      <c r="H227" s="48">
        <v>0</v>
      </c>
      <c r="I227" s="33"/>
      <c r="J227" s="16"/>
      <c r="K227" s="18"/>
    </row>
    <row r="228" spans="2:11">
      <c r="B228" s="29" t="s">
        <v>237</v>
      </c>
      <c r="C228" s="30">
        <v>5414849358737</v>
      </c>
      <c r="D228" s="26">
        <v>3590466</v>
      </c>
      <c r="E228" s="27" t="s">
        <v>261</v>
      </c>
      <c r="F228" s="28">
        <v>150</v>
      </c>
      <c r="G228" s="28">
        <f t="shared" si="5"/>
        <v>150</v>
      </c>
      <c r="H228" s="48">
        <v>0</v>
      </c>
      <c r="I228" s="33"/>
      <c r="J228" s="16"/>
      <c r="K228" s="18"/>
    </row>
    <row r="229" spans="2:11" ht="13.5" thickBot="1">
      <c r="B229" s="29" t="s">
        <v>237</v>
      </c>
      <c r="C229" s="30">
        <v>5414849358744</v>
      </c>
      <c r="D229" s="26">
        <v>3590467</v>
      </c>
      <c r="E229" s="27" t="s">
        <v>262</v>
      </c>
      <c r="F229" s="28">
        <v>77</v>
      </c>
      <c r="G229" s="28">
        <f t="shared" si="5"/>
        <v>77</v>
      </c>
      <c r="H229" s="48">
        <v>0</v>
      </c>
      <c r="I229" s="33"/>
      <c r="J229" s="16"/>
      <c r="K229" s="18"/>
    </row>
    <row r="230" spans="2:11">
      <c r="B230" s="29" t="s">
        <v>6</v>
      </c>
      <c r="C230" s="30">
        <v>5411692219802</v>
      </c>
      <c r="D230" s="26">
        <v>4057044</v>
      </c>
      <c r="E230" s="27" t="s">
        <v>7</v>
      </c>
      <c r="F230" s="28">
        <v>700</v>
      </c>
      <c r="G230" s="28">
        <f>ROUND(F230+(F230*H230),0)</f>
        <v>727</v>
      </c>
      <c r="H230" s="48">
        <v>3.7999999999999999E-2</v>
      </c>
      <c r="I230" s="31"/>
      <c r="J230" s="15"/>
      <c r="K230" s="18"/>
    </row>
    <row r="231" spans="2:11">
      <c r="B231" s="29" t="s">
        <v>6</v>
      </c>
      <c r="C231" s="30">
        <v>5411692219796</v>
      </c>
      <c r="D231" s="26">
        <v>4057045</v>
      </c>
      <c r="E231" s="27" t="s">
        <v>8</v>
      </c>
      <c r="F231" s="28">
        <v>826</v>
      </c>
      <c r="G231" s="28">
        <f>ROUND(F231+(F231*H231),0)</f>
        <v>857</v>
      </c>
      <c r="H231" s="48">
        <v>3.7999999999999999E-2</v>
      </c>
      <c r="I231" s="31"/>
      <c r="J231" s="16"/>
      <c r="K231" s="18"/>
    </row>
    <row r="232" spans="2:11">
      <c r="B232" s="29" t="s">
        <v>6</v>
      </c>
      <c r="C232" s="30">
        <v>5411692300203</v>
      </c>
      <c r="D232" s="26">
        <v>4057147</v>
      </c>
      <c r="E232" s="27" t="s">
        <v>595</v>
      </c>
      <c r="F232" s="28">
        <v>900</v>
      </c>
      <c r="G232" s="28">
        <f>ROUND(F232+(F232*H232),0)</f>
        <v>934</v>
      </c>
      <c r="H232" s="48">
        <v>3.7999999999999999E-2</v>
      </c>
      <c r="I232" s="31" t="s">
        <v>640</v>
      </c>
      <c r="J232" s="16"/>
      <c r="K232" s="18"/>
    </row>
    <row r="233" spans="2:11">
      <c r="B233" s="29" t="s">
        <v>263</v>
      </c>
      <c r="C233" s="30">
        <v>5411692219789</v>
      </c>
      <c r="D233" s="26">
        <v>4057035</v>
      </c>
      <c r="E233" s="27" t="s">
        <v>264</v>
      </c>
      <c r="F233" s="28">
        <v>1599</v>
      </c>
      <c r="G233" s="28">
        <f t="shared" si="5"/>
        <v>1660</v>
      </c>
      <c r="H233" s="48">
        <v>3.7999999999999999E-2</v>
      </c>
      <c r="I233" s="31"/>
      <c r="J233" s="16"/>
      <c r="K233" s="18"/>
    </row>
    <row r="234" spans="2:11">
      <c r="B234" s="29" t="s">
        <v>263</v>
      </c>
      <c r="C234" s="30">
        <v>5411692219772</v>
      </c>
      <c r="D234" s="26">
        <v>4057036</v>
      </c>
      <c r="E234" s="27" t="s">
        <v>265</v>
      </c>
      <c r="F234" s="28">
        <v>1725</v>
      </c>
      <c r="G234" s="28">
        <f t="shared" si="5"/>
        <v>1791</v>
      </c>
      <c r="H234" s="48">
        <v>3.7999999999999999E-2</v>
      </c>
      <c r="I234" s="31"/>
      <c r="J234" s="16"/>
      <c r="K234" s="18"/>
    </row>
    <row r="235" spans="2:11">
      <c r="B235" s="29" t="s">
        <v>263</v>
      </c>
      <c r="C235" s="30">
        <v>5411692219758</v>
      </c>
      <c r="D235" s="26">
        <v>4057037</v>
      </c>
      <c r="E235" s="27" t="s">
        <v>266</v>
      </c>
      <c r="F235" s="28">
        <v>1849</v>
      </c>
      <c r="G235" s="28">
        <f t="shared" si="5"/>
        <v>1919</v>
      </c>
      <c r="H235" s="48">
        <v>3.7999999999999999E-2</v>
      </c>
      <c r="I235" s="31"/>
      <c r="J235" s="16"/>
      <c r="K235" s="18"/>
    </row>
    <row r="236" spans="2:11">
      <c r="B236" s="29" t="s">
        <v>263</v>
      </c>
      <c r="C236" s="30">
        <v>5411692219673</v>
      </c>
      <c r="D236" s="26">
        <v>4057041</v>
      </c>
      <c r="E236" s="27" t="s">
        <v>267</v>
      </c>
      <c r="F236" s="28">
        <v>2302</v>
      </c>
      <c r="G236" s="28">
        <f t="shared" si="5"/>
        <v>2302</v>
      </c>
      <c r="H236" s="48">
        <v>0</v>
      </c>
      <c r="I236" s="31" t="s">
        <v>654</v>
      </c>
      <c r="J236" s="16"/>
      <c r="K236" s="47"/>
    </row>
    <row r="237" spans="2:11">
      <c r="B237" s="29" t="s">
        <v>263</v>
      </c>
      <c r="C237" s="30">
        <v>5411692219666</v>
      </c>
      <c r="D237" s="26">
        <v>4057042</v>
      </c>
      <c r="E237" s="27" t="s">
        <v>268</v>
      </c>
      <c r="F237" s="28">
        <v>2375</v>
      </c>
      <c r="G237" s="28">
        <f t="shared" si="5"/>
        <v>2375</v>
      </c>
      <c r="H237" s="48">
        <v>0</v>
      </c>
      <c r="I237" s="31" t="s">
        <v>654</v>
      </c>
      <c r="J237" s="16"/>
      <c r="K237" s="47"/>
    </row>
    <row r="238" spans="2:11">
      <c r="B238" s="29" t="s">
        <v>263</v>
      </c>
      <c r="C238" s="30">
        <v>5411692219611</v>
      </c>
      <c r="D238" s="26">
        <v>4057043</v>
      </c>
      <c r="E238" s="27" t="s">
        <v>269</v>
      </c>
      <c r="F238" s="28">
        <v>2633</v>
      </c>
      <c r="G238" s="28">
        <f t="shared" si="5"/>
        <v>2633</v>
      </c>
      <c r="H238" s="48">
        <v>0</v>
      </c>
      <c r="I238" s="31" t="s">
        <v>654</v>
      </c>
      <c r="J238" s="16"/>
      <c r="K238" s="47"/>
    </row>
    <row r="239" spans="2:11">
      <c r="B239" s="29" t="s">
        <v>263</v>
      </c>
      <c r="C239" s="30">
        <v>5411692376697</v>
      </c>
      <c r="D239" s="26">
        <v>4057213</v>
      </c>
      <c r="E239" s="27" t="s">
        <v>648</v>
      </c>
      <c r="F239" s="28">
        <v>2100</v>
      </c>
      <c r="G239" s="28">
        <f t="shared" si="5"/>
        <v>2100</v>
      </c>
      <c r="H239" s="48">
        <v>0</v>
      </c>
      <c r="I239" s="31" t="s">
        <v>641</v>
      </c>
      <c r="J239" s="16"/>
      <c r="K239" s="18"/>
    </row>
    <row r="240" spans="2:11">
      <c r="B240" s="29" t="s">
        <v>263</v>
      </c>
      <c r="C240" s="30">
        <v>5411692376680</v>
      </c>
      <c r="D240" s="26">
        <v>4057214</v>
      </c>
      <c r="E240" s="27" t="s">
        <v>649</v>
      </c>
      <c r="F240" s="28">
        <v>2200</v>
      </c>
      <c r="G240" s="28">
        <f t="shared" si="5"/>
        <v>2200</v>
      </c>
      <c r="H240" s="48">
        <v>0</v>
      </c>
      <c r="I240" s="31" t="s">
        <v>641</v>
      </c>
      <c r="J240" s="16"/>
      <c r="K240" s="18"/>
    </row>
    <row r="241" spans="2:11">
      <c r="B241" s="29" t="s">
        <v>263</v>
      </c>
      <c r="C241" s="30">
        <v>5411692376727</v>
      </c>
      <c r="D241" s="26">
        <v>4057210</v>
      </c>
      <c r="E241" s="27" t="s">
        <v>645</v>
      </c>
      <c r="F241" s="28">
        <v>2600</v>
      </c>
      <c r="G241" s="28">
        <f t="shared" si="5"/>
        <v>2600</v>
      </c>
      <c r="H241" s="48">
        <v>0</v>
      </c>
      <c r="I241" s="31" t="s">
        <v>642</v>
      </c>
      <c r="J241" s="16"/>
      <c r="K241" s="18"/>
    </row>
    <row r="242" spans="2:11">
      <c r="B242" s="29" t="s">
        <v>263</v>
      </c>
      <c r="C242" s="30">
        <v>5411692376710</v>
      </c>
      <c r="D242" s="26">
        <v>4057211</v>
      </c>
      <c r="E242" s="27" t="s">
        <v>646</v>
      </c>
      <c r="F242" s="28">
        <v>2700</v>
      </c>
      <c r="G242" s="28">
        <f t="shared" si="5"/>
        <v>2700</v>
      </c>
      <c r="H242" s="48">
        <v>0</v>
      </c>
      <c r="I242" s="31" t="s">
        <v>643</v>
      </c>
      <c r="J242" s="16"/>
      <c r="K242" s="18"/>
    </row>
    <row r="243" spans="2:11">
      <c r="B243" s="29" t="s">
        <v>263</v>
      </c>
      <c r="C243" s="30">
        <v>5411692376703</v>
      </c>
      <c r="D243" s="26">
        <v>4057212</v>
      </c>
      <c r="E243" s="27" t="s">
        <v>647</v>
      </c>
      <c r="F243" s="28">
        <v>2800</v>
      </c>
      <c r="G243" s="28">
        <f t="shared" si="5"/>
        <v>2800</v>
      </c>
      <c r="H243" s="48">
        <v>0</v>
      </c>
      <c r="I243" s="31" t="s">
        <v>644</v>
      </c>
      <c r="J243" s="16"/>
      <c r="K243" s="18"/>
    </row>
    <row r="244" spans="2:11">
      <c r="B244" s="29" t="s">
        <v>263</v>
      </c>
      <c r="C244" s="30">
        <v>5411692227951</v>
      </c>
      <c r="D244" s="26">
        <v>4057034</v>
      </c>
      <c r="E244" s="27" t="s">
        <v>270</v>
      </c>
      <c r="F244" s="28">
        <v>2390</v>
      </c>
      <c r="G244" s="28">
        <f t="shared" si="5"/>
        <v>2481</v>
      </c>
      <c r="H244" s="48">
        <v>3.7999999999999999E-2</v>
      </c>
      <c r="I244" s="31"/>
      <c r="J244" s="16"/>
      <c r="K244" s="18"/>
    </row>
    <row r="245" spans="2:11">
      <c r="B245" s="29" t="s">
        <v>263</v>
      </c>
      <c r="C245" s="30">
        <v>5414849870222</v>
      </c>
      <c r="D245" s="26">
        <v>3069761</v>
      </c>
      <c r="E245" s="27" t="s">
        <v>271</v>
      </c>
      <c r="F245" s="28">
        <v>2535</v>
      </c>
      <c r="G245" s="28">
        <f t="shared" si="5"/>
        <v>2631</v>
      </c>
      <c r="H245" s="48">
        <v>3.7999999999999999E-2</v>
      </c>
      <c r="I245" s="31"/>
      <c r="J245" s="16"/>
      <c r="K245" s="18"/>
    </row>
    <row r="246" spans="2:11">
      <c r="B246" s="29" t="s">
        <v>263</v>
      </c>
      <c r="C246" s="30">
        <v>5414849870239</v>
      </c>
      <c r="D246" s="26">
        <v>3069762</v>
      </c>
      <c r="E246" s="27" t="s">
        <v>272</v>
      </c>
      <c r="F246" s="28">
        <v>2634</v>
      </c>
      <c r="G246" s="28">
        <f t="shared" si="5"/>
        <v>2734</v>
      </c>
      <c r="H246" s="48">
        <v>3.7999999999999999E-2</v>
      </c>
      <c r="I246" s="31"/>
      <c r="J246" s="16"/>
      <c r="K246" s="18"/>
    </row>
    <row r="247" spans="2:11">
      <c r="B247" s="29" t="s">
        <v>263</v>
      </c>
      <c r="C247" s="30">
        <v>5414849870246</v>
      </c>
      <c r="D247" s="26">
        <v>3069763</v>
      </c>
      <c r="E247" s="27" t="s">
        <v>273</v>
      </c>
      <c r="F247" s="28">
        <v>3090</v>
      </c>
      <c r="G247" s="28">
        <f t="shared" si="5"/>
        <v>3207</v>
      </c>
      <c r="H247" s="48">
        <v>3.7999999999999999E-2</v>
      </c>
      <c r="I247" s="31"/>
      <c r="J247" s="16"/>
      <c r="K247" s="18"/>
    </row>
    <row r="248" spans="2:11">
      <c r="B248" s="29" t="s">
        <v>263</v>
      </c>
      <c r="C248" s="30" t="s">
        <v>60</v>
      </c>
      <c r="D248" s="26" t="s">
        <v>274</v>
      </c>
      <c r="E248" s="27" t="s">
        <v>275</v>
      </c>
      <c r="F248" s="28">
        <v>7359</v>
      </c>
      <c r="G248" s="28">
        <f t="shared" si="5"/>
        <v>7639</v>
      </c>
      <c r="H248" s="48">
        <v>3.7999999999999999E-2</v>
      </c>
      <c r="I248" s="31"/>
      <c r="J248" s="16"/>
      <c r="K248" s="18"/>
    </row>
    <row r="249" spans="2:11">
      <c r="B249" s="29" t="s">
        <v>263</v>
      </c>
      <c r="C249" s="30">
        <v>5411692262013</v>
      </c>
      <c r="D249" s="26">
        <v>4054003</v>
      </c>
      <c r="E249" s="27" t="s">
        <v>276</v>
      </c>
      <c r="F249" s="28">
        <v>11768</v>
      </c>
      <c r="G249" s="28">
        <f t="shared" si="5"/>
        <v>12215</v>
      </c>
      <c r="H249" s="48">
        <v>3.7999999999999999E-2</v>
      </c>
      <c r="I249" s="33" t="s">
        <v>592</v>
      </c>
      <c r="J249" s="16"/>
      <c r="K249" s="18"/>
    </row>
    <row r="250" spans="2:11">
      <c r="B250" s="29" t="s">
        <v>263</v>
      </c>
      <c r="C250" s="30">
        <v>5411692262020</v>
      </c>
      <c r="D250" s="26">
        <v>4054005</v>
      </c>
      <c r="E250" s="27" t="s">
        <v>277</v>
      </c>
      <c r="F250" s="28">
        <v>12630</v>
      </c>
      <c r="G250" s="28">
        <f t="shared" si="5"/>
        <v>13110</v>
      </c>
      <c r="H250" s="48">
        <v>3.7999999999999999E-2</v>
      </c>
      <c r="I250" s="33" t="s">
        <v>592</v>
      </c>
      <c r="J250" s="16"/>
      <c r="K250" s="18"/>
    </row>
    <row r="251" spans="2:11">
      <c r="B251" s="29" t="s">
        <v>263</v>
      </c>
      <c r="C251" s="30">
        <v>5411692262037</v>
      </c>
      <c r="D251" s="26">
        <v>4054007</v>
      </c>
      <c r="E251" s="27" t="s">
        <v>278</v>
      </c>
      <c r="F251" s="28">
        <v>14315</v>
      </c>
      <c r="G251" s="28">
        <f t="shared" si="5"/>
        <v>14859</v>
      </c>
      <c r="H251" s="48">
        <v>3.7999999999999999E-2</v>
      </c>
      <c r="I251" s="33" t="s">
        <v>592</v>
      </c>
      <c r="J251" s="16"/>
      <c r="K251" s="18"/>
    </row>
    <row r="252" spans="2:11">
      <c r="B252" s="29" t="s">
        <v>263</v>
      </c>
      <c r="C252" s="30">
        <v>5411692262051</v>
      </c>
      <c r="D252" s="26">
        <v>4054009</v>
      </c>
      <c r="E252" s="27" t="s">
        <v>279</v>
      </c>
      <c r="F252" s="28">
        <v>18119</v>
      </c>
      <c r="G252" s="28">
        <f t="shared" si="5"/>
        <v>18808</v>
      </c>
      <c r="H252" s="48">
        <v>3.7999999999999999E-2</v>
      </c>
      <c r="I252" s="33" t="s">
        <v>592</v>
      </c>
      <c r="J252" s="16"/>
      <c r="K252" s="18"/>
    </row>
    <row r="253" spans="2:11">
      <c r="B253" s="29" t="s">
        <v>263</v>
      </c>
      <c r="C253" s="30">
        <v>5411692262075</v>
      </c>
      <c r="D253" s="26">
        <v>4054011</v>
      </c>
      <c r="E253" s="27" t="s">
        <v>280</v>
      </c>
      <c r="F253" s="28">
        <v>18199</v>
      </c>
      <c r="G253" s="28">
        <f t="shared" si="5"/>
        <v>18891</v>
      </c>
      <c r="H253" s="48">
        <v>3.7999999999999999E-2</v>
      </c>
      <c r="I253" s="33" t="s">
        <v>592</v>
      </c>
      <c r="J253" s="16"/>
      <c r="K253" s="18"/>
    </row>
    <row r="254" spans="2:11">
      <c r="B254" s="29" t="s">
        <v>281</v>
      </c>
      <c r="C254" s="30">
        <v>5414849267800</v>
      </c>
      <c r="D254" s="26">
        <v>3208092</v>
      </c>
      <c r="E254" s="27" t="s">
        <v>282</v>
      </c>
      <c r="F254" s="28">
        <v>52</v>
      </c>
      <c r="G254" s="28">
        <f t="shared" si="5"/>
        <v>52</v>
      </c>
      <c r="H254" s="48">
        <v>0</v>
      </c>
      <c r="I254" s="33"/>
      <c r="J254" s="16"/>
      <c r="K254" s="18"/>
    </row>
    <row r="255" spans="2:11">
      <c r="B255" s="29" t="s">
        <v>281</v>
      </c>
      <c r="C255" s="30">
        <v>5414849044913</v>
      </c>
      <c r="D255" s="26">
        <v>3208037</v>
      </c>
      <c r="E255" s="27" t="s">
        <v>283</v>
      </c>
      <c r="F255" s="28">
        <v>45</v>
      </c>
      <c r="G255" s="28">
        <f t="shared" si="5"/>
        <v>45</v>
      </c>
      <c r="H255" s="48">
        <v>0</v>
      </c>
      <c r="I255" s="33"/>
      <c r="J255" s="16"/>
      <c r="K255" s="18"/>
    </row>
    <row r="256" spans="2:11">
      <c r="B256" s="29" t="s">
        <v>281</v>
      </c>
      <c r="C256" s="30">
        <v>5414849044937</v>
      </c>
      <c r="D256" s="26">
        <v>3208040</v>
      </c>
      <c r="E256" s="27" t="s">
        <v>284</v>
      </c>
      <c r="F256" s="28">
        <v>14</v>
      </c>
      <c r="G256" s="28">
        <f t="shared" si="5"/>
        <v>14</v>
      </c>
      <c r="H256" s="48">
        <v>0</v>
      </c>
      <c r="I256" s="33"/>
      <c r="J256" s="16"/>
      <c r="K256" s="18"/>
    </row>
    <row r="257" spans="2:11">
      <c r="B257" s="29" t="s">
        <v>281</v>
      </c>
      <c r="C257" s="30">
        <v>5414849044951</v>
      </c>
      <c r="D257" s="26">
        <v>3208042</v>
      </c>
      <c r="E257" s="27" t="s">
        <v>285</v>
      </c>
      <c r="F257" s="28">
        <v>13</v>
      </c>
      <c r="G257" s="28">
        <f t="shared" si="5"/>
        <v>13</v>
      </c>
      <c r="H257" s="48">
        <v>0</v>
      </c>
      <c r="I257" s="33"/>
      <c r="J257" s="16"/>
      <c r="K257" s="18"/>
    </row>
    <row r="258" spans="2:11">
      <c r="B258" s="29" t="s">
        <v>281</v>
      </c>
      <c r="C258" s="30">
        <v>5414849044975</v>
      </c>
      <c r="D258" s="26">
        <v>3208044</v>
      </c>
      <c r="E258" s="27" t="s">
        <v>286</v>
      </c>
      <c r="F258" s="28">
        <v>41</v>
      </c>
      <c r="G258" s="28">
        <f t="shared" si="5"/>
        <v>41</v>
      </c>
      <c r="H258" s="48">
        <v>0</v>
      </c>
      <c r="I258" s="33"/>
      <c r="J258" s="16"/>
      <c r="K258" s="18"/>
    </row>
    <row r="259" spans="2:11">
      <c r="B259" s="29" t="s">
        <v>281</v>
      </c>
      <c r="C259" s="30">
        <v>5414849045026</v>
      </c>
      <c r="D259" s="26">
        <v>3208050</v>
      </c>
      <c r="E259" s="27" t="s">
        <v>287</v>
      </c>
      <c r="F259" s="28">
        <v>17</v>
      </c>
      <c r="G259" s="28">
        <f t="shared" si="5"/>
        <v>17</v>
      </c>
      <c r="H259" s="48">
        <v>0</v>
      </c>
      <c r="I259" s="34"/>
      <c r="J259" s="16"/>
      <c r="K259" s="18"/>
    </row>
    <row r="260" spans="2:11">
      <c r="B260" s="29" t="s">
        <v>281</v>
      </c>
      <c r="C260" s="30">
        <v>5414849145894</v>
      </c>
      <c r="D260" s="26">
        <v>3208061</v>
      </c>
      <c r="E260" s="27" t="s">
        <v>288</v>
      </c>
      <c r="F260" s="28">
        <v>76</v>
      </c>
      <c r="G260" s="28">
        <f t="shared" si="5"/>
        <v>76</v>
      </c>
      <c r="H260" s="48">
        <v>0</v>
      </c>
      <c r="I260" s="33"/>
      <c r="J260" s="16"/>
      <c r="K260" s="18"/>
    </row>
    <row r="261" spans="2:11">
      <c r="B261" s="29" t="s">
        <v>281</v>
      </c>
      <c r="C261" s="30">
        <v>5414849145917</v>
      </c>
      <c r="D261" s="26">
        <v>3208063</v>
      </c>
      <c r="E261" s="27" t="s">
        <v>289</v>
      </c>
      <c r="F261" s="28">
        <v>43</v>
      </c>
      <c r="G261" s="28">
        <f t="shared" si="5"/>
        <v>43</v>
      </c>
      <c r="H261" s="48">
        <v>0</v>
      </c>
      <c r="I261" s="33"/>
      <c r="J261" s="16"/>
      <c r="K261" s="18"/>
    </row>
    <row r="262" spans="2:11">
      <c r="B262" s="29" t="s">
        <v>281</v>
      </c>
      <c r="C262" s="30">
        <v>5414849145955</v>
      </c>
      <c r="D262" s="26">
        <v>3208067</v>
      </c>
      <c r="E262" s="27" t="s">
        <v>290</v>
      </c>
      <c r="F262" s="28">
        <v>17</v>
      </c>
      <c r="G262" s="28">
        <f t="shared" ref="G262:G325" si="6">ROUND(F262+(F262*H262),0)</f>
        <v>17</v>
      </c>
      <c r="H262" s="48">
        <v>0</v>
      </c>
      <c r="I262" s="33"/>
      <c r="J262" s="16"/>
      <c r="K262" s="18"/>
    </row>
    <row r="263" spans="2:11">
      <c r="B263" s="29" t="s">
        <v>281</v>
      </c>
      <c r="C263" s="30">
        <v>5414849172265</v>
      </c>
      <c r="D263" s="26">
        <v>3208075</v>
      </c>
      <c r="E263" s="27" t="s">
        <v>291</v>
      </c>
      <c r="F263" s="28">
        <v>78</v>
      </c>
      <c r="G263" s="28">
        <f t="shared" si="6"/>
        <v>78</v>
      </c>
      <c r="H263" s="48">
        <v>0</v>
      </c>
      <c r="I263" s="33"/>
      <c r="J263" s="16"/>
      <c r="K263" s="18"/>
    </row>
    <row r="264" spans="2:11">
      <c r="B264" s="29" t="s">
        <v>281</v>
      </c>
      <c r="C264" s="30">
        <v>5414849172296</v>
      </c>
      <c r="D264" s="26">
        <v>3208078</v>
      </c>
      <c r="E264" s="27" t="s">
        <v>292</v>
      </c>
      <c r="F264" s="28">
        <v>17</v>
      </c>
      <c r="G264" s="28">
        <f t="shared" si="6"/>
        <v>17</v>
      </c>
      <c r="H264" s="48">
        <v>0</v>
      </c>
      <c r="I264" s="34"/>
      <c r="J264" s="16"/>
      <c r="K264" s="18"/>
    </row>
    <row r="265" spans="2:11">
      <c r="B265" s="29" t="s">
        <v>281</v>
      </c>
      <c r="C265" s="30">
        <v>5414849594524</v>
      </c>
      <c r="D265" s="26">
        <v>3078090</v>
      </c>
      <c r="E265" s="27" t="s">
        <v>293</v>
      </c>
      <c r="F265" s="28">
        <v>53</v>
      </c>
      <c r="G265" s="28">
        <f t="shared" si="6"/>
        <v>53</v>
      </c>
      <c r="H265" s="48">
        <v>0</v>
      </c>
      <c r="I265" s="33"/>
      <c r="J265" s="16"/>
      <c r="K265" s="18"/>
    </row>
    <row r="266" spans="2:11">
      <c r="B266" s="29" t="s">
        <v>281</v>
      </c>
      <c r="C266" s="30">
        <v>5414849594555</v>
      </c>
      <c r="D266" s="26">
        <v>3078093</v>
      </c>
      <c r="E266" s="27" t="s">
        <v>294</v>
      </c>
      <c r="F266" s="28">
        <v>12</v>
      </c>
      <c r="G266" s="28">
        <f t="shared" si="6"/>
        <v>12</v>
      </c>
      <c r="H266" s="48">
        <v>0</v>
      </c>
      <c r="I266" s="33"/>
      <c r="J266" s="16"/>
      <c r="K266" s="18"/>
    </row>
    <row r="267" spans="2:11">
      <c r="B267" s="29" t="s">
        <v>281</v>
      </c>
      <c r="C267" s="30">
        <v>5414849594548</v>
      </c>
      <c r="D267" s="26">
        <v>3078092</v>
      </c>
      <c r="E267" s="27" t="s">
        <v>295</v>
      </c>
      <c r="F267" s="28">
        <v>29</v>
      </c>
      <c r="G267" s="28">
        <f t="shared" si="6"/>
        <v>29</v>
      </c>
      <c r="H267" s="48">
        <v>0</v>
      </c>
      <c r="I267" s="33"/>
      <c r="J267" s="16"/>
      <c r="K267" s="18"/>
    </row>
    <row r="268" spans="2:11">
      <c r="B268" s="29" t="s">
        <v>281</v>
      </c>
      <c r="C268" s="30">
        <v>5414849594562</v>
      </c>
      <c r="D268" s="26">
        <v>3078094</v>
      </c>
      <c r="E268" s="27" t="s">
        <v>296</v>
      </c>
      <c r="F268" s="28">
        <v>20</v>
      </c>
      <c r="G268" s="28">
        <f t="shared" si="6"/>
        <v>20</v>
      </c>
      <c r="H268" s="48">
        <v>0</v>
      </c>
      <c r="I268" s="33"/>
      <c r="J268" s="16"/>
      <c r="K268" s="18"/>
    </row>
    <row r="269" spans="2:11">
      <c r="B269" s="29" t="s">
        <v>281</v>
      </c>
      <c r="C269" s="30">
        <v>5411692462031</v>
      </c>
      <c r="D269" s="26">
        <v>704101</v>
      </c>
      <c r="E269" s="27" t="s">
        <v>297</v>
      </c>
      <c r="F269" s="28">
        <v>30</v>
      </c>
      <c r="G269" s="28">
        <f t="shared" si="6"/>
        <v>30</v>
      </c>
      <c r="H269" s="48">
        <v>0</v>
      </c>
      <c r="I269" s="33"/>
      <c r="J269" s="16"/>
      <c r="K269" s="18"/>
    </row>
    <row r="270" spans="2:11">
      <c r="B270" s="29" t="s">
        <v>281</v>
      </c>
      <c r="C270" s="30">
        <v>5411692523664</v>
      </c>
      <c r="D270" s="26">
        <v>3380020</v>
      </c>
      <c r="E270" s="27" t="s">
        <v>298</v>
      </c>
      <c r="F270" s="28">
        <v>30</v>
      </c>
      <c r="G270" s="28">
        <f t="shared" si="6"/>
        <v>30</v>
      </c>
      <c r="H270" s="48">
        <v>0</v>
      </c>
      <c r="I270" s="33"/>
      <c r="J270" s="16"/>
      <c r="K270" s="18"/>
    </row>
    <row r="271" spans="2:11">
      <c r="B271" s="29" t="s">
        <v>281</v>
      </c>
      <c r="C271" s="30">
        <v>5414849198814</v>
      </c>
      <c r="D271" s="26">
        <v>3078042</v>
      </c>
      <c r="E271" s="27" t="s">
        <v>299</v>
      </c>
      <c r="F271" s="28">
        <v>45</v>
      </c>
      <c r="G271" s="28">
        <f t="shared" si="6"/>
        <v>45</v>
      </c>
      <c r="H271" s="48">
        <v>0</v>
      </c>
      <c r="I271" s="33"/>
      <c r="J271" s="16"/>
      <c r="K271" s="18"/>
    </row>
    <row r="272" spans="2:11">
      <c r="B272" s="29" t="s">
        <v>281</v>
      </c>
      <c r="C272" s="30">
        <v>5411692035310</v>
      </c>
      <c r="D272" s="26">
        <v>3629157</v>
      </c>
      <c r="E272" s="27" t="s">
        <v>300</v>
      </c>
      <c r="F272" s="28">
        <v>68</v>
      </c>
      <c r="G272" s="28">
        <f t="shared" si="6"/>
        <v>68</v>
      </c>
      <c r="H272" s="48">
        <v>0</v>
      </c>
      <c r="I272" s="33"/>
      <c r="J272" s="16"/>
      <c r="K272" s="18"/>
    </row>
    <row r="273" spans="2:12">
      <c r="B273" s="29" t="s">
        <v>281</v>
      </c>
      <c r="C273" s="30">
        <v>5411692122782</v>
      </c>
      <c r="D273" s="26">
        <v>3629175</v>
      </c>
      <c r="E273" s="27" t="s">
        <v>301</v>
      </c>
      <c r="F273" s="28">
        <v>88</v>
      </c>
      <c r="G273" s="28">
        <f t="shared" si="6"/>
        <v>88</v>
      </c>
      <c r="H273" s="48">
        <v>0</v>
      </c>
      <c r="I273" s="33"/>
      <c r="J273" s="16"/>
      <c r="K273" s="18"/>
    </row>
    <row r="274" spans="2:12">
      <c r="B274" s="29" t="s">
        <v>281</v>
      </c>
      <c r="C274" s="30">
        <v>5411692035327</v>
      </c>
      <c r="D274" s="26">
        <v>3629159</v>
      </c>
      <c r="E274" s="27" t="s">
        <v>302</v>
      </c>
      <c r="F274" s="28">
        <v>27</v>
      </c>
      <c r="G274" s="28">
        <f t="shared" si="6"/>
        <v>27</v>
      </c>
      <c r="H274" s="48">
        <v>0</v>
      </c>
      <c r="I274" s="31"/>
      <c r="J274" s="16"/>
      <c r="K274" s="18"/>
    </row>
    <row r="275" spans="2:12">
      <c r="B275" s="29" t="s">
        <v>303</v>
      </c>
      <c r="C275" s="30" t="s">
        <v>304</v>
      </c>
      <c r="D275" s="26">
        <v>3301854</v>
      </c>
      <c r="E275" s="27" t="s">
        <v>305</v>
      </c>
      <c r="F275" s="28">
        <v>7675</v>
      </c>
      <c r="G275" s="28">
        <f t="shared" si="6"/>
        <v>7967</v>
      </c>
      <c r="H275" s="48">
        <v>3.7999999999999999E-2</v>
      </c>
      <c r="I275" s="33"/>
      <c r="J275" s="16"/>
      <c r="K275" s="18"/>
      <c r="L275" s="18"/>
    </row>
    <row r="276" spans="2:12">
      <c r="B276" s="29" t="s">
        <v>303</v>
      </c>
      <c r="C276" s="30" t="s">
        <v>306</v>
      </c>
      <c r="D276" s="26">
        <v>3301856</v>
      </c>
      <c r="E276" s="27" t="s">
        <v>307</v>
      </c>
      <c r="F276" s="28">
        <v>7840</v>
      </c>
      <c r="G276" s="28">
        <f t="shared" si="6"/>
        <v>8138</v>
      </c>
      <c r="H276" s="48">
        <v>3.7999999999999999E-2</v>
      </c>
      <c r="I276" s="33"/>
      <c r="J276" s="16"/>
      <c r="K276" s="18"/>
    </row>
    <row r="277" spans="2:12">
      <c r="B277" s="29" t="s">
        <v>303</v>
      </c>
      <c r="C277" s="30" t="s">
        <v>308</v>
      </c>
      <c r="D277" s="26">
        <v>3301858</v>
      </c>
      <c r="E277" s="27" t="s">
        <v>309</v>
      </c>
      <c r="F277" s="28">
        <v>8210</v>
      </c>
      <c r="G277" s="28">
        <f t="shared" si="6"/>
        <v>8522</v>
      </c>
      <c r="H277" s="48">
        <v>3.7999999999999999E-2</v>
      </c>
      <c r="I277" s="33"/>
      <c r="J277" s="16"/>
      <c r="K277" s="18"/>
    </row>
    <row r="278" spans="2:12">
      <c r="B278" s="29" t="s">
        <v>303</v>
      </c>
      <c r="C278" s="30" t="s">
        <v>310</v>
      </c>
      <c r="D278" s="26">
        <v>3301859</v>
      </c>
      <c r="E278" s="27" t="s">
        <v>311</v>
      </c>
      <c r="F278" s="28">
        <v>10313</v>
      </c>
      <c r="G278" s="28">
        <f t="shared" si="6"/>
        <v>10705</v>
      </c>
      <c r="H278" s="48">
        <v>3.7999999999999999E-2</v>
      </c>
      <c r="I278" s="33"/>
      <c r="J278" s="16"/>
      <c r="K278" s="18"/>
    </row>
    <row r="279" spans="2:12">
      <c r="B279" s="29" t="s">
        <v>303</v>
      </c>
      <c r="C279" s="30" t="s">
        <v>312</v>
      </c>
      <c r="D279" s="26">
        <v>3301860</v>
      </c>
      <c r="E279" s="27" t="s">
        <v>313</v>
      </c>
      <c r="F279" s="28">
        <v>9112</v>
      </c>
      <c r="G279" s="28">
        <f t="shared" si="6"/>
        <v>9458</v>
      </c>
      <c r="H279" s="48">
        <v>3.7999999999999999E-2</v>
      </c>
      <c r="I279" s="33"/>
      <c r="J279" s="16"/>
      <c r="K279" s="18"/>
    </row>
    <row r="280" spans="2:12">
      <c r="B280" s="29" t="s">
        <v>303</v>
      </c>
      <c r="C280" s="30" t="s">
        <v>314</v>
      </c>
      <c r="D280" s="26">
        <v>3301862</v>
      </c>
      <c r="E280" s="27" t="s">
        <v>315</v>
      </c>
      <c r="F280" s="28">
        <v>10248</v>
      </c>
      <c r="G280" s="28">
        <f t="shared" si="6"/>
        <v>10637</v>
      </c>
      <c r="H280" s="48">
        <v>3.7999999999999999E-2</v>
      </c>
      <c r="I280" s="33"/>
      <c r="J280" s="16"/>
      <c r="K280" s="18"/>
    </row>
    <row r="281" spans="2:12">
      <c r="B281" s="29" t="s">
        <v>303</v>
      </c>
      <c r="C281" s="30" t="s">
        <v>316</v>
      </c>
      <c r="D281" s="26">
        <v>3301864</v>
      </c>
      <c r="E281" s="27" t="s">
        <v>317</v>
      </c>
      <c r="F281" s="28">
        <v>10665</v>
      </c>
      <c r="G281" s="28">
        <f t="shared" si="6"/>
        <v>11070</v>
      </c>
      <c r="H281" s="48">
        <v>3.7999999999999999E-2</v>
      </c>
      <c r="I281" s="33"/>
      <c r="J281" s="16"/>
      <c r="K281" s="18"/>
    </row>
    <row r="282" spans="2:12">
      <c r="B282" s="29" t="s">
        <v>303</v>
      </c>
      <c r="C282" s="30" t="s">
        <v>318</v>
      </c>
      <c r="D282" s="26">
        <v>3301866</v>
      </c>
      <c r="E282" s="27" t="s">
        <v>319</v>
      </c>
      <c r="F282" s="28">
        <v>10589</v>
      </c>
      <c r="G282" s="28">
        <f t="shared" si="6"/>
        <v>10991</v>
      </c>
      <c r="H282" s="48">
        <v>3.7999999999999999E-2</v>
      </c>
      <c r="I282" s="33"/>
      <c r="J282" s="16"/>
      <c r="K282" s="18"/>
    </row>
    <row r="283" spans="2:12">
      <c r="B283" s="29" t="s">
        <v>303</v>
      </c>
      <c r="C283" s="30" t="s">
        <v>320</v>
      </c>
      <c r="D283" s="26">
        <v>3301868</v>
      </c>
      <c r="E283" s="27" t="s">
        <v>321</v>
      </c>
      <c r="F283" s="28">
        <v>10842</v>
      </c>
      <c r="G283" s="28">
        <f t="shared" si="6"/>
        <v>11254</v>
      </c>
      <c r="H283" s="48">
        <v>3.7999999999999999E-2</v>
      </c>
      <c r="I283" s="33"/>
      <c r="J283" s="16"/>
      <c r="K283" s="18"/>
    </row>
    <row r="284" spans="2:12">
      <c r="B284" s="29" t="s">
        <v>303</v>
      </c>
      <c r="C284" s="30" t="s">
        <v>322</v>
      </c>
      <c r="D284" s="26">
        <v>3301846</v>
      </c>
      <c r="E284" s="27" t="s">
        <v>323</v>
      </c>
      <c r="F284" s="28">
        <v>5441</v>
      </c>
      <c r="G284" s="28">
        <f t="shared" si="6"/>
        <v>5648</v>
      </c>
      <c r="H284" s="48">
        <v>3.7999999999999999E-2</v>
      </c>
      <c r="I284" s="33"/>
      <c r="J284" s="16"/>
      <c r="K284" s="18"/>
    </row>
    <row r="285" spans="2:12">
      <c r="B285" s="29" t="s">
        <v>303</v>
      </c>
      <c r="C285" s="30" t="s">
        <v>324</v>
      </c>
      <c r="D285" s="26">
        <v>3301847</v>
      </c>
      <c r="E285" s="27" t="s">
        <v>325</v>
      </c>
      <c r="F285" s="28">
        <v>5606</v>
      </c>
      <c r="G285" s="28">
        <f t="shared" si="6"/>
        <v>5819</v>
      </c>
      <c r="H285" s="48">
        <v>3.7999999999999999E-2</v>
      </c>
      <c r="I285" s="33"/>
      <c r="J285" s="16"/>
      <c r="K285" s="18"/>
    </row>
    <row r="286" spans="2:12">
      <c r="B286" s="29" t="s">
        <v>303</v>
      </c>
      <c r="C286" s="30" t="s">
        <v>326</v>
      </c>
      <c r="D286" s="26">
        <v>3301848</v>
      </c>
      <c r="E286" s="27" t="s">
        <v>327</v>
      </c>
      <c r="F286" s="28">
        <v>5976</v>
      </c>
      <c r="G286" s="28">
        <f t="shared" si="6"/>
        <v>6203</v>
      </c>
      <c r="H286" s="48">
        <v>3.7999999999999999E-2</v>
      </c>
      <c r="I286" s="33"/>
      <c r="J286" s="16"/>
      <c r="K286" s="18"/>
    </row>
    <row r="287" spans="2:12">
      <c r="B287" s="29" t="s">
        <v>303</v>
      </c>
      <c r="C287" s="30" t="s">
        <v>328</v>
      </c>
      <c r="D287" s="26">
        <v>3301849</v>
      </c>
      <c r="E287" s="27" t="s">
        <v>329</v>
      </c>
      <c r="F287" s="28">
        <v>6878</v>
      </c>
      <c r="G287" s="28">
        <f t="shared" si="6"/>
        <v>7139</v>
      </c>
      <c r="H287" s="48">
        <v>3.7999999999999999E-2</v>
      </c>
      <c r="I287" s="33"/>
      <c r="J287" s="16"/>
      <c r="K287" s="18"/>
    </row>
    <row r="288" spans="2:12">
      <c r="B288" s="29" t="s">
        <v>303</v>
      </c>
      <c r="C288" s="30" t="s">
        <v>330</v>
      </c>
      <c r="D288" s="26">
        <v>3301850</v>
      </c>
      <c r="E288" s="27" t="s">
        <v>331</v>
      </c>
      <c r="F288" s="28">
        <v>7970</v>
      </c>
      <c r="G288" s="28">
        <f t="shared" si="6"/>
        <v>8273</v>
      </c>
      <c r="H288" s="48">
        <v>3.7999999999999999E-2</v>
      </c>
      <c r="I288" s="33"/>
      <c r="J288" s="16"/>
      <c r="K288" s="18"/>
    </row>
    <row r="289" spans="2:12">
      <c r="B289" s="29" t="s">
        <v>303</v>
      </c>
      <c r="C289" s="30" t="s">
        <v>332</v>
      </c>
      <c r="D289" s="26">
        <v>3301851</v>
      </c>
      <c r="E289" s="27" t="s">
        <v>333</v>
      </c>
      <c r="F289" s="28">
        <v>8387</v>
      </c>
      <c r="G289" s="28">
        <f t="shared" si="6"/>
        <v>8706</v>
      </c>
      <c r="H289" s="48">
        <v>3.7999999999999999E-2</v>
      </c>
      <c r="I289" s="33"/>
      <c r="J289" s="16"/>
      <c r="K289" s="18"/>
    </row>
    <row r="290" spans="2:12">
      <c r="B290" s="29" t="s">
        <v>303</v>
      </c>
      <c r="C290" s="30" t="s">
        <v>334</v>
      </c>
      <c r="D290" s="26">
        <v>3301852</v>
      </c>
      <c r="E290" s="27" t="s">
        <v>335</v>
      </c>
      <c r="F290" s="28">
        <v>8311</v>
      </c>
      <c r="G290" s="28">
        <f t="shared" si="6"/>
        <v>8627</v>
      </c>
      <c r="H290" s="48">
        <v>3.7999999999999999E-2</v>
      </c>
      <c r="I290" s="33"/>
      <c r="J290" s="16"/>
      <c r="K290" s="18"/>
    </row>
    <row r="291" spans="2:12">
      <c r="B291" s="29" t="s">
        <v>303</v>
      </c>
      <c r="C291" s="30" t="s">
        <v>336</v>
      </c>
      <c r="D291" s="26">
        <v>3301853</v>
      </c>
      <c r="E291" s="27" t="s">
        <v>337</v>
      </c>
      <c r="F291" s="28">
        <v>8564</v>
      </c>
      <c r="G291" s="28">
        <f t="shared" si="6"/>
        <v>8889</v>
      </c>
      <c r="H291" s="48">
        <v>3.7999999999999999E-2</v>
      </c>
      <c r="I291" s="33"/>
      <c r="J291" s="16"/>
      <c r="K291" s="18"/>
    </row>
    <row r="292" spans="2:12">
      <c r="B292" s="29" t="s">
        <v>303</v>
      </c>
      <c r="C292" s="30" t="s">
        <v>338</v>
      </c>
      <c r="D292" s="26">
        <v>3301870</v>
      </c>
      <c r="E292" s="27" t="s">
        <v>339</v>
      </c>
      <c r="F292" s="28">
        <v>4273</v>
      </c>
      <c r="G292" s="28">
        <f t="shared" si="6"/>
        <v>4435</v>
      </c>
      <c r="H292" s="48">
        <v>3.7999999999999999E-2</v>
      </c>
      <c r="I292" s="33"/>
      <c r="J292" s="16"/>
      <c r="K292" s="18"/>
    </row>
    <row r="293" spans="2:12">
      <c r="B293" s="29" t="s">
        <v>303</v>
      </c>
      <c r="C293" s="30" t="s">
        <v>340</v>
      </c>
      <c r="D293" s="26">
        <v>3301871</v>
      </c>
      <c r="E293" s="27" t="s">
        <v>341</v>
      </c>
      <c r="F293" s="28">
        <v>4438</v>
      </c>
      <c r="G293" s="28">
        <f t="shared" si="6"/>
        <v>4607</v>
      </c>
      <c r="H293" s="48">
        <v>3.7999999999999999E-2</v>
      </c>
      <c r="I293" s="33"/>
      <c r="J293" s="16"/>
      <c r="K293" s="18"/>
    </row>
    <row r="294" spans="2:12">
      <c r="B294" s="29" t="s">
        <v>303</v>
      </c>
      <c r="C294" s="30" t="s">
        <v>342</v>
      </c>
      <c r="D294" s="26">
        <v>3301872</v>
      </c>
      <c r="E294" s="27" t="s">
        <v>343</v>
      </c>
      <c r="F294" s="28">
        <v>4808</v>
      </c>
      <c r="G294" s="28">
        <f t="shared" si="6"/>
        <v>4991</v>
      </c>
      <c r="H294" s="48">
        <v>3.7999999999999999E-2</v>
      </c>
      <c r="I294" s="33"/>
      <c r="J294" s="16"/>
      <c r="K294" s="18"/>
    </row>
    <row r="295" spans="2:12">
      <c r="B295" s="29" t="s">
        <v>303</v>
      </c>
      <c r="C295" s="30" t="s">
        <v>344</v>
      </c>
      <c r="D295" s="26">
        <v>3301873</v>
      </c>
      <c r="E295" s="27" t="s">
        <v>345</v>
      </c>
      <c r="F295" s="28">
        <v>5710</v>
      </c>
      <c r="G295" s="28">
        <f t="shared" si="6"/>
        <v>5927</v>
      </c>
      <c r="H295" s="48">
        <v>3.7999999999999999E-2</v>
      </c>
      <c r="I295" s="33"/>
      <c r="J295" s="16"/>
      <c r="K295" s="18"/>
    </row>
    <row r="296" spans="2:12">
      <c r="B296" s="29" t="s">
        <v>303</v>
      </c>
      <c r="C296" s="30" t="s">
        <v>346</v>
      </c>
      <c r="D296" s="26">
        <v>3301874</v>
      </c>
      <c r="E296" s="27" t="s">
        <v>347</v>
      </c>
      <c r="F296" s="28">
        <v>6759</v>
      </c>
      <c r="G296" s="28">
        <f t="shared" si="6"/>
        <v>7016</v>
      </c>
      <c r="H296" s="48">
        <v>3.7999999999999999E-2</v>
      </c>
      <c r="I296" s="33"/>
      <c r="J296" s="16"/>
      <c r="K296" s="18"/>
    </row>
    <row r="297" spans="2:12">
      <c r="B297" s="29" t="s">
        <v>303</v>
      </c>
      <c r="C297" s="30" t="s">
        <v>348</v>
      </c>
      <c r="D297" s="26">
        <v>3301875</v>
      </c>
      <c r="E297" s="27" t="s">
        <v>349</v>
      </c>
      <c r="F297" s="28">
        <v>7176</v>
      </c>
      <c r="G297" s="28">
        <f t="shared" si="6"/>
        <v>7449</v>
      </c>
      <c r="H297" s="48">
        <v>3.7999999999999999E-2</v>
      </c>
      <c r="I297" s="33"/>
      <c r="J297" s="16"/>
      <c r="K297" s="18"/>
    </row>
    <row r="298" spans="2:12">
      <c r="B298" s="29" t="s">
        <v>303</v>
      </c>
      <c r="C298" s="30" t="s">
        <v>350</v>
      </c>
      <c r="D298" s="26">
        <v>3301876</v>
      </c>
      <c r="E298" s="27" t="s">
        <v>351</v>
      </c>
      <c r="F298" s="28">
        <v>7100</v>
      </c>
      <c r="G298" s="28">
        <f t="shared" si="6"/>
        <v>7370</v>
      </c>
      <c r="H298" s="48">
        <v>3.7999999999999999E-2</v>
      </c>
      <c r="I298" s="33"/>
      <c r="J298" s="16"/>
      <c r="K298" s="18"/>
    </row>
    <row r="299" spans="2:12">
      <c r="B299" s="29" t="s">
        <v>303</v>
      </c>
      <c r="C299" s="30" t="s">
        <v>352</v>
      </c>
      <c r="D299" s="26">
        <v>3301877</v>
      </c>
      <c r="E299" s="27" t="s">
        <v>353</v>
      </c>
      <c r="F299" s="28">
        <v>7353</v>
      </c>
      <c r="G299" s="28">
        <f t="shared" si="6"/>
        <v>7632</v>
      </c>
      <c r="H299" s="48">
        <v>3.7999999999999999E-2</v>
      </c>
      <c r="I299" s="33"/>
      <c r="J299" s="16"/>
      <c r="K299" s="18"/>
    </row>
    <row r="300" spans="2:12">
      <c r="B300" s="29" t="s">
        <v>354</v>
      </c>
      <c r="C300" s="30">
        <v>5411692159603</v>
      </c>
      <c r="D300" s="26">
        <v>3302530</v>
      </c>
      <c r="E300" s="27" t="s">
        <v>355</v>
      </c>
      <c r="F300" s="28">
        <v>7494</v>
      </c>
      <c r="G300" s="28">
        <f t="shared" si="6"/>
        <v>7779</v>
      </c>
      <c r="H300" s="48">
        <v>3.7999999999999999E-2</v>
      </c>
      <c r="I300" s="31"/>
      <c r="J300" s="16"/>
      <c r="K300" s="18"/>
      <c r="L300" s="18"/>
    </row>
    <row r="301" spans="2:12">
      <c r="B301" s="29" t="s">
        <v>354</v>
      </c>
      <c r="C301" s="30">
        <v>5411692159627</v>
      </c>
      <c r="D301" s="26">
        <v>3302532</v>
      </c>
      <c r="E301" s="27" t="s">
        <v>356</v>
      </c>
      <c r="F301" s="28">
        <v>7612</v>
      </c>
      <c r="G301" s="28">
        <f t="shared" si="6"/>
        <v>7901</v>
      </c>
      <c r="H301" s="48">
        <v>3.7999999999999999E-2</v>
      </c>
      <c r="I301" s="31"/>
      <c r="J301" s="16"/>
      <c r="K301" s="18"/>
      <c r="L301" s="18"/>
    </row>
    <row r="302" spans="2:12">
      <c r="B302" s="29" t="s">
        <v>354</v>
      </c>
      <c r="C302" s="30">
        <v>5411692159641</v>
      </c>
      <c r="D302" s="26">
        <v>3302534</v>
      </c>
      <c r="E302" s="27" t="s">
        <v>357</v>
      </c>
      <c r="F302" s="28">
        <v>8148</v>
      </c>
      <c r="G302" s="28">
        <f t="shared" si="6"/>
        <v>8458</v>
      </c>
      <c r="H302" s="48">
        <v>3.7999999999999999E-2</v>
      </c>
      <c r="I302" s="31"/>
      <c r="J302" s="16"/>
      <c r="K302" s="18"/>
      <c r="L302" s="18"/>
    </row>
    <row r="303" spans="2:12">
      <c r="B303" s="29" t="s">
        <v>354</v>
      </c>
      <c r="C303" s="30" t="s">
        <v>358</v>
      </c>
      <c r="D303" s="26">
        <v>3301896</v>
      </c>
      <c r="E303" s="27" t="s">
        <v>359</v>
      </c>
      <c r="F303" s="28">
        <v>9027</v>
      </c>
      <c r="G303" s="28">
        <f t="shared" si="6"/>
        <v>9370</v>
      </c>
      <c r="H303" s="48">
        <v>3.7999999999999999E-2</v>
      </c>
      <c r="I303" s="35"/>
      <c r="J303" s="16"/>
      <c r="K303" s="18"/>
      <c r="L303" s="18"/>
    </row>
    <row r="304" spans="2:12">
      <c r="B304" s="29" t="s">
        <v>354</v>
      </c>
      <c r="C304" s="30">
        <v>5411692028909</v>
      </c>
      <c r="D304" s="26">
        <v>3302226</v>
      </c>
      <c r="E304" s="27" t="s">
        <v>360</v>
      </c>
      <c r="F304" s="28">
        <v>10840</v>
      </c>
      <c r="G304" s="28">
        <f t="shared" si="6"/>
        <v>11252</v>
      </c>
      <c r="H304" s="48">
        <v>3.7999999999999999E-2</v>
      </c>
      <c r="I304" s="36"/>
      <c r="J304" s="16"/>
      <c r="K304" s="18"/>
      <c r="L304" s="18"/>
    </row>
    <row r="305" spans="2:12">
      <c r="B305" s="29" t="s">
        <v>354</v>
      </c>
      <c r="C305" s="30">
        <v>5411692028923</v>
      </c>
      <c r="D305" s="26">
        <v>3302228</v>
      </c>
      <c r="E305" s="27" t="s">
        <v>361</v>
      </c>
      <c r="F305" s="28">
        <v>11200</v>
      </c>
      <c r="G305" s="28">
        <f t="shared" si="6"/>
        <v>11626</v>
      </c>
      <c r="H305" s="48">
        <v>3.7999999999999999E-2</v>
      </c>
      <c r="I305" s="36"/>
      <c r="J305" s="16"/>
      <c r="K305" s="18"/>
      <c r="L305" s="18"/>
    </row>
    <row r="306" spans="2:12">
      <c r="B306" s="29" t="s">
        <v>354</v>
      </c>
      <c r="C306" s="30">
        <v>5411692028947</v>
      </c>
      <c r="D306" s="26">
        <v>3302230</v>
      </c>
      <c r="E306" s="27" t="s">
        <v>362</v>
      </c>
      <c r="F306" s="28">
        <v>11084</v>
      </c>
      <c r="G306" s="28">
        <f t="shared" si="6"/>
        <v>11505</v>
      </c>
      <c r="H306" s="48">
        <v>3.7999999999999999E-2</v>
      </c>
      <c r="I306" s="36"/>
      <c r="J306" s="16"/>
      <c r="K306" s="18"/>
      <c r="L306" s="18"/>
    </row>
    <row r="307" spans="2:12">
      <c r="B307" s="29" t="s">
        <v>354</v>
      </c>
      <c r="C307" s="30">
        <v>5411692028961</v>
      </c>
      <c r="D307" s="26">
        <v>3302232</v>
      </c>
      <c r="E307" s="27" t="s">
        <v>363</v>
      </c>
      <c r="F307" s="28">
        <v>11266</v>
      </c>
      <c r="G307" s="28">
        <f t="shared" si="6"/>
        <v>11694</v>
      </c>
      <c r="H307" s="48">
        <v>3.7999999999999999E-2</v>
      </c>
      <c r="I307" s="36"/>
      <c r="J307" s="16"/>
      <c r="K307" s="18"/>
      <c r="L307" s="18"/>
    </row>
    <row r="308" spans="2:12">
      <c r="B308" s="29" t="s">
        <v>354</v>
      </c>
      <c r="C308" s="30">
        <v>5411692159726</v>
      </c>
      <c r="D308" s="26">
        <v>3302526</v>
      </c>
      <c r="E308" s="27" t="s">
        <v>364</v>
      </c>
      <c r="F308" s="28">
        <v>5188</v>
      </c>
      <c r="G308" s="28">
        <f t="shared" si="6"/>
        <v>5385</v>
      </c>
      <c r="H308" s="48">
        <v>3.7999999999999999E-2</v>
      </c>
      <c r="I308" s="31"/>
      <c r="J308" s="16"/>
      <c r="K308" s="18"/>
      <c r="L308" s="18"/>
    </row>
    <row r="309" spans="2:12">
      <c r="B309" s="29" t="s">
        <v>354</v>
      </c>
      <c r="C309" s="30">
        <v>5411692159573</v>
      </c>
      <c r="D309" s="26">
        <v>3302527</v>
      </c>
      <c r="E309" s="27" t="s">
        <v>365</v>
      </c>
      <c r="F309" s="28">
        <v>5306</v>
      </c>
      <c r="G309" s="28">
        <f t="shared" si="6"/>
        <v>5508</v>
      </c>
      <c r="H309" s="48">
        <v>3.7999999999999999E-2</v>
      </c>
      <c r="I309" s="31"/>
      <c r="J309" s="16"/>
      <c r="K309" s="18"/>
      <c r="L309" s="18"/>
    </row>
    <row r="310" spans="2:12">
      <c r="B310" s="29" t="s">
        <v>354</v>
      </c>
      <c r="C310" s="30">
        <v>5411692159580</v>
      </c>
      <c r="D310" s="26">
        <v>3302528</v>
      </c>
      <c r="E310" s="27" t="s">
        <v>366</v>
      </c>
      <c r="F310" s="28">
        <v>5841</v>
      </c>
      <c r="G310" s="28">
        <f t="shared" si="6"/>
        <v>6063</v>
      </c>
      <c r="H310" s="48">
        <v>3.7999999999999999E-2</v>
      </c>
      <c r="I310" s="31"/>
      <c r="J310" s="16"/>
      <c r="K310" s="18"/>
      <c r="L310" s="18"/>
    </row>
    <row r="311" spans="2:12">
      <c r="B311" s="29" t="s">
        <v>354</v>
      </c>
      <c r="C311" s="30" t="s">
        <v>367</v>
      </c>
      <c r="D311" s="26">
        <v>3301889</v>
      </c>
      <c r="E311" s="27" t="s">
        <v>368</v>
      </c>
      <c r="F311" s="28">
        <v>6720</v>
      </c>
      <c r="G311" s="28">
        <f t="shared" si="6"/>
        <v>6975</v>
      </c>
      <c r="H311" s="48">
        <v>3.7999999999999999E-2</v>
      </c>
      <c r="I311" s="35"/>
      <c r="J311" s="16"/>
      <c r="K311" s="18"/>
    </row>
    <row r="312" spans="2:12">
      <c r="B312" s="29" t="s">
        <v>354</v>
      </c>
      <c r="C312" s="30">
        <v>5411692028862</v>
      </c>
      <c r="D312" s="26">
        <v>3302222</v>
      </c>
      <c r="E312" s="27" t="s">
        <v>369</v>
      </c>
      <c r="F312" s="28">
        <v>8024</v>
      </c>
      <c r="G312" s="28">
        <f t="shared" si="6"/>
        <v>8329</v>
      </c>
      <c r="H312" s="48">
        <v>3.7999999999999999E-2</v>
      </c>
      <c r="I312" s="36"/>
      <c r="J312" s="16"/>
      <c r="K312" s="18"/>
    </row>
    <row r="313" spans="2:12">
      <c r="B313" s="29" t="s">
        <v>354</v>
      </c>
      <c r="C313" s="30">
        <v>5411692028879</v>
      </c>
      <c r="D313" s="26">
        <v>3302223</v>
      </c>
      <c r="E313" s="27" t="s">
        <v>370</v>
      </c>
      <c r="F313" s="28">
        <v>8360</v>
      </c>
      <c r="G313" s="28">
        <f t="shared" si="6"/>
        <v>8678</v>
      </c>
      <c r="H313" s="48">
        <v>3.7999999999999999E-2</v>
      </c>
      <c r="I313" s="36"/>
      <c r="J313" s="16"/>
      <c r="K313" s="18"/>
    </row>
    <row r="314" spans="2:12">
      <c r="B314" s="29" t="s">
        <v>354</v>
      </c>
      <c r="C314" s="30">
        <v>5411692028886</v>
      </c>
      <c r="D314" s="26">
        <v>3302224</v>
      </c>
      <c r="E314" s="27" t="s">
        <v>371</v>
      </c>
      <c r="F314" s="28">
        <v>8290</v>
      </c>
      <c r="G314" s="28">
        <f t="shared" si="6"/>
        <v>8605</v>
      </c>
      <c r="H314" s="48">
        <v>3.7999999999999999E-2</v>
      </c>
      <c r="I314" s="36"/>
      <c r="J314" s="16"/>
      <c r="K314" s="18"/>
    </row>
    <row r="315" spans="2:12">
      <c r="B315" s="29" t="s">
        <v>354</v>
      </c>
      <c r="C315" s="30">
        <v>5411692028893</v>
      </c>
      <c r="D315" s="26">
        <v>3302225</v>
      </c>
      <c r="E315" s="27" t="s">
        <v>372</v>
      </c>
      <c r="F315" s="28">
        <v>8465</v>
      </c>
      <c r="G315" s="28">
        <f t="shared" si="6"/>
        <v>8787</v>
      </c>
      <c r="H315" s="48">
        <v>3.7999999999999999E-2</v>
      </c>
      <c r="I315" s="36"/>
      <c r="J315" s="16"/>
      <c r="K315" s="18"/>
    </row>
    <row r="316" spans="2:12">
      <c r="B316" s="29" t="s">
        <v>373</v>
      </c>
      <c r="C316" s="30" t="s">
        <v>374</v>
      </c>
      <c r="D316" s="26">
        <v>3630222</v>
      </c>
      <c r="E316" s="27" t="s">
        <v>375</v>
      </c>
      <c r="F316" s="28">
        <v>3313</v>
      </c>
      <c r="G316" s="28">
        <f t="shared" si="6"/>
        <v>3439</v>
      </c>
      <c r="H316" s="48">
        <v>3.7999999999999999E-2</v>
      </c>
      <c r="I316" s="35"/>
      <c r="J316" s="16"/>
      <c r="K316" s="18"/>
    </row>
    <row r="317" spans="2:12">
      <c r="B317" s="29" t="s">
        <v>373</v>
      </c>
      <c r="C317" s="30" t="s">
        <v>376</v>
      </c>
      <c r="D317" s="26">
        <v>3630223</v>
      </c>
      <c r="E317" s="27" t="s">
        <v>377</v>
      </c>
      <c r="F317" s="28">
        <v>3478</v>
      </c>
      <c r="G317" s="28">
        <f t="shared" si="6"/>
        <v>3610</v>
      </c>
      <c r="H317" s="48">
        <v>3.7999999999999999E-2</v>
      </c>
      <c r="I317" s="35"/>
      <c r="J317" s="16"/>
      <c r="K317" s="18"/>
    </row>
    <row r="318" spans="2:12">
      <c r="B318" s="29" t="s">
        <v>373</v>
      </c>
      <c r="C318" s="30" t="s">
        <v>378</v>
      </c>
      <c r="D318" s="26">
        <v>3630224</v>
      </c>
      <c r="E318" s="27" t="s">
        <v>379</v>
      </c>
      <c r="F318" s="28">
        <v>3848</v>
      </c>
      <c r="G318" s="28">
        <f t="shared" si="6"/>
        <v>3994</v>
      </c>
      <c r="H318" s="48">
        <v>3.7999999999999999E-2</v>
      </c>
      <c r="I318" s="35"/>
      <c r="J318" s="16"/>
      <c r="K318" s="18"/>
    </row>
    <row r="319" spans="2:12">
      <c r="B319" s="29" t="s">
        <v>373</v>
      </c>
      <c r="C319" s="30" t="s">
        <v>380</v>
      </c>
      <c r="D319" s="26">
        <v>3630225</v>
      </c>
      <c r="E319" s="27" t="s">
        <v>381</v>
      </c>
      <c r="F319" s="28">
        <v>4750</v>
      </c>
      <c r="G319" s="28">
        <f t="shared" si="6"/>
        <v>4931</v>
      </c>
      <c r="H319" s="48">
        <v>3.7999999999999999E-2</v>
      </c>
      <c r="I319" s="35"/>
      <c r="J319" s="16"/>
      <c r="K319" s="18"/>
    </row>
    <row r="320" spans="2:12">
      <c r="B320" s="29" t="s">
        <v>373</v>
      </c>
      <c r="C320" s="30" t="s">
        <v>382</v>
      </c>
      <c r="D320" s="26">
        <v>3630226</v>
      </c>
      <c r="E320" s="27" t="s">
        <v>383</v>
      </c>
      <c r="F320" s="28">
        <v>5799</v>
      </c>
      <c r="G320" s="28">
        <f t="shared" si="6"/>
        <v>6019</v>
      </c>
      <c r="H320" s="48">
        <v>3.7999999999999999E-2</v>
      </c>
      <c r="I320" s="35"/>
      <c r="J320" s="16"/>
      <c r="K320" s="18"/>
    </row>
    <row r="321" spans="2:11">
      <c r="B321" s="29" t="s">
        <v>373</v>
      </c>
      <c r="C321" s="30" t="s">
        <v>384</v>
      </c>
      <c r="D321" s="26">
        <v>3630227</v>
      </c>
      <c r="E321" s="27" t="s">
        <v>385</v>
      </c>
      <c r="F321" s="28">
        <v>6216</v>
      </c>
      <c r="G321" s="28">
        <f t="shared" si="6"/>
        <v>6452</v>
      </c>
      <c r="H321" s="48">
        <v>3.7999999999999999E-2</v>
      </c>
      <c r="I321" s="35"/>
      <c r="J321" s="16"/>
      <c r="K321" s="18"/>
    </row>
    <row r="322" spans="2:11">
      <c r="B322" s="29" t="s">
        <v>373</v>
      </c>
      <c r="C322" s="30" t="s">
        <v>386</v>
      </c>
      <c r="D322" s="26">
        <v>3630228</v>
      </c>
      <c r="E322" s="27" t="s">
        <v>387</v>
      </c>
      <c r="F322" s="28">
        <v>6140</v>
      </c>
      <c r="G322" s="28">
        <f t="shared" si="6"/>
        <v>6373</v>
      </c>
      <c r="H322" s="48">
        <v>3.7999999999999999E-2</v>
      </c>
      <c r="I322" s="35"/>
      <c r="J322" s="16"/>
      <c r="K322" s="18"/>
    </row>
    <row r="323" spans="2:11">
      <c r="B323" s="29" t="s">
        <v>373</v>
      </c>
      <c r="C323" s="30" t="s">
        <v>388</v>
      </c>
      <c r="D323" s="26">
        <v>3630229</v>
      </c>
      <c r="E323" s="27" t="s">
        <v>389</v>
      </c>
      <c r="F323" s="28">
        <v>6393</v>
      </c>
      <c r="G323" s="28">
        <f t="shared" si="6"/>
        <v>6636</v>
      </c>
      <c r="H323" s="48">
        <v>3.7999999999999999E-2</v>
      </c>
      <c r="I323" s="35"/>
      <c r="J323" s="16"/>
      <c r="K323" s="18"/>
    </row>
    <row r="324" spans="2:11">
      <c r="B324" s="29" t="s">
        <v>373</v>
      </c>
      <c r="C324" s="30">
        <v>5411692123963</v>
      </c>
      <c r="D324" s="26">
        <v>3630289</v>
      </c>
      <c r="E324" s="27" t="s">
        <v>390</v>
      </c>
      <c r="F324" s="28">
        <v>2358</v>
      </c>
      <c r="G324" s="28">
        <f t="shared" si="6"/>
        <v>2448</v>
      </c>
      <c r="H324" s="48">
        <v>3.7999999999999999E-2</v>
      </c>
      <c r="I324" s="31"/>
      <c r="J324" s="16"/>
      <c r="K324" s="18"/>
    </row>
    <row r="325" spans="2:11">
      <c r="B325" s="29" t="s">
        <v>373</v>
      </c>
      <c r="C325" s="30">
        <v>5411692123970</v>
      </c>
      <c r="D325" s="26">
        <v>3630290</v>
      </c>
      <c r="E325" s="27" t="s">
        <v>391</v>
      </c>
      <c r="F325" s="28">
        <v>2476</v>
      </c>
      <c r="G325" s="28">
        <f t="shared" si="6"/>
        <v>2570</v>
      </c>
      <c r="H325" s="48">
        <v>3.7999999999999999E-2</v>
      </c>
      <c r="I325" s="31"/>
      <c r="J325" s="16"/>
      <c r="K325" s="18"/>
    </row>
    <row r="326" spans="2:11">
      <c r="B326" s="29" t="s">
        <v>373</v>
      </c>
      <c r="C326" s="30">
        <v>5411692123987</v>
      </c>
      <c r="D326" s="26">
        <v>3630291</v>
      </c>
      <c r="E326" s="27" t="s">
        <v>392</v>
      </c>
      <c r="F326" s="28">
        <v>2901</v>
      </c>
      <c r="G326" s="28">
        <f t="shared" ref="G326:G388" si="7">ROUND(F326+(F326*H326),0)</f>
        <v>3011</v>
      </c>
      <c r="H326" s="48">
        <v>3.7999999999999999E-2</v>
      </c>
      <c r="I326" s="31"/>
      <c r="J326" s="16"/>
      <c r="K326" s="18"/>
    </row>
    <row r="327" spans="2:11">
      <c r="B327" s="29" t="s">
        <v>373</v>
      </c>
      <c r="C327" s="30" t="s">
        <v>393</v>
      </c>
      <c r="D327" s="26">
        <v>3630233</v>
      </c>
      <c r="E327" s="27" t="s">
        <v>394</v>
      </c>
      <c r="F327" s="28">
        <v>3780</v>
      </c>
      <c r="G327" s="28">
        <f t="shared" si="7"/>
        <v>3924</v>
      </c>
      <c r="H327" s="48">
        <v>3.7999999999999999E-2</v>
      </c>
      <c r="I327" s="35"/>
      <c r="J327" s="16"/>
      <c r="K327" s="18"/>
    </row>
    <row r="328" spans="2:11">
      <c r="B328" s="29" t="s">
        <v>373</v>
      </c>
      <c r="C328" s="30">
        <v>5411692021726</v>
      </c>
      <c r="D328" s="26">
        <v>3630271</v>
      </c>
      <c r="E328" s="27" t="s">
        <v>395</v>
      </c>
      <c r="F328" s="28">
        <v>4476</v>
      </c>
      <c r="G328" s="28">
        <f t="shared" si="7"/>
        <v>4646</v>
      </c>
      <c r="H328" s="48">
        <v>3.7999999999999999E-2</v>
      </c>
      <c r="I328" s="36"/>
      <c r="J328" s="16"/>
      <c r="K328" s="18"/>
    </row>
    <row r="329" spans="2:11">
      <c r="B329" s="29" t="s">
        <v>373</v>
      </c>
      <c r="C329" s="30">
        <v>5411692021719</v>
      </c>
      <c r="D329" s="26">
        <v>3630272</v>
      </c>
      <c r="E329" s="27" t="s">
        <v>396</v>
      </c>
      <c r="F329" s="28">
        <v>4825</v>
      </c>
      <c r="G329" s="28">
        <f t="shared" si="7"/>
        <v>5008</v>
      </c>
      <c r="H329" s="48">
        <v>3.7999999999999999E-2</v>
      </c>
      <c r="I329" s="36"/>
      <c r="J329" s="16"/>
      <c r="K329" s="18"/>
    </row>
    <row r="330" spans="2:11">
      <c r="B330" s="29" t="s">
        <v>373</v>
      </c>
      <c r="C330" s="30">
        <v>5411692021702</v>
      </c>
      <c r="D330" s="26">
        <v>3630273</v>
      </c>
      <c r="E330" s="27" t="s">
        <v>397</v>
      </c>
      <c r="F330" s="28">
        <v>4710</v>
      </c>
      <c r="G330" s="28">
        <f t="shared" si="7"/>
        <v>4889</v>
      </c>
      <c r="H330" s="48">
        <v>3.7999999999999999E-2</v>
      </c>
      <c r="I330" s="36"/>
      <c r="J330" s="16"/>
      <c r="K330" s="18"/>
    </row>
    <row r="331" spans="2:11">
      <c r="B331" s="29" t="s">
        <v>373</v>
      </c>
      <c r="C331" s="30">
        <v>5411692021696</v>
      </c>
      <c r="D331" s="26">
        <v>3630274</v>
      </c>
      <c r="E331" s="27" t="s">
        <v>398</v>
      </c>
      <c r="F331" s="28">
        <v>4917</v>
      </c>
      <c r="G331" s="28">
        <f t="shared" si="7"/>
        <v>5104</v>
      </c>
      <c r="H331" s="48">
        <v>3.7999999999999999E-2</v>
      </c>
      <c r="I331" s="36"/>
      <c r="J331" s="16"/>
      <c r="K331" s="18"/>
    </row>
    <row r="332" spans="2:11">
      <c r="B332" s="29" t="s">
        <v>373</v>
      </c>
      <c r="C332" s="30" t="s">
        <v>399</v>
      </c>
      <c r="D332" s="26">
        <v>3301719</v>
      </c>
      <c r="E332" s="27" t="s">
        <v>400</v>
      </c>
      <c r="F332" s="28">
        <v>2128</v>
      </c>
      <c r="G332" s="28">
        <f t="shared" si="7"/>
        <v>2209</v>
      </c>
      <c r="H332" s="48">
        <v>3.7999999999999999E-2</v>
      </c>
      <c r="I332" s="35"/>
      <c r="J332" s="16"/>
      <c r="K332" s="18"/>
    </row>
    <row r="333" spans="2:11">
      <c r="B333" s="29" t="s">
        <v>373</v>
      </c>
      <c r="C333" s="30" t="s">
        <v>401</v>
      </c>
      <c r="D333" s="26">
        <v>3301720</v>
      </c>
      <c r="E333" s="27" t="s">
        <v>402</v>
      </c>
      <c r="F333" s="28">
        <v>2171</v>
      </c>
      <c r="G333" s="28">
        <f t="shared" si="7"/>
        <v>2253</v>
      </c>
      <c r="H333" s="48">
        <v>3.7999999999999999E-2</v>
      </c>
      <c r="I333" s="35"/>
      <c r="J333" s="16"/>
      <c r="K333" s="18"/>
    </row>
    <row r="334" spans="2:11">
      <c r="B334" s="29" t="s">
        <v>373</v>
      </c>
      <c r="C334" s="30" t="s">
        <v>403</v>
      </c>
      <c r="D334" s="26">
        <v>3301721</v>
      </c>
      <c r="E334" s="27" t="s">
        <v>404</v>
      </c>
      <c r="F334" s="28">
        <v>4362</v>
      </c>
      <c r="G334" s="28">
        <f t="shared" si="7"/>
        <v>4528</v>
      </c>
      <c r="H334" s="48">
        <v>3.7999999999999999E-2</v>
      </c>
      <c r="I334" s="35"/>
      <c r="J334" s="16"/>
      <c r="K334" s="18"/>
    </row>
    <row r="335" spans="2:11">
      <c r="B335" s="29" t="s">
        <v>373</v>
      </c>
      <c r="C335" s="30" t="s">
        <v>405</v>
      </c>
      <c r="D335" s="26">
        <v>3301722</v>
      </c>
      <c r="E335" s="27" t="s">
        <v>406</v>
      </c>
      <c r="F335" s="28">
        <v>6465</v>
      </c>
      <c r="G335" s="28">
        <f t="shared" si="7"/>
        <v>6711</v>
      </c>
      <c r="H335" s="48">
        <v>3.7999999999999999E-2</v>
      </c>
      <c r="I335" s="35"/>
      <c r="J335" s="16"/>
      <c r="K335" s="18"/>
    </row>
    <row r="336" spans="2:11">
      <c r="B336" s="29" t="s">
        <v>373</v>
      </c>
      <c r="C336" s="30" t="s">
        <v>407</v>
      </c>
      <c r="D336" s="26">
        <v>3301723</v>
      </c>
      <c r="E336" s="27" t="s">
        <v>408</v>
      </c>
      <c r="F336" s="28">
        <v>4449</v>
      </c>
      <c r="G336" s="28">
        <f t="shared" si="7"/>
        <v>4618</v>
      </c>
      <c r="H336" s="48">
        <v>3.7999999999999999E-2</v>
      </c>
      <c r="I336" s="35"/>
      <c r="J336" s="16"/>
      <c r="K336" s="18"/>
    </row>
    <row r="337" spans="2:11">
      <c r="B337" s="29" t="s">
        <v>373</v>
      </c>
      <c r="C337" s="30" t="s">
        <v>409</v>
      </c>
      <c r="D337" s="26">
        <v>3301725</v>
      </c>
      <c r="E337" s="27" t="s">
        <v>410</v>
      </c>
      <c r="F337" s="28">
        <v>960</v>
      </c>
      <c r="G337" s="28">
        <f t="shared" si="7"/>
        <v>996</v>
      </c>
      <c r="H337" s="48">
        <v>3.7999999999999999E-2</v>
      </c>
      <c r="I337" s="35"/>
      <c r="J337" s="16"/>
      <c r="K337" s="18"/>
    </row>
    <row r="338" spans="2:11">
      <c r="B338" s="29" t="s">
        <v>373</v>
      </c>
      <c r="C338" s="30">
        <v>5411692123901</v>
      </c>
      <c r="D338" s="26">
        <v>3302519</v>
      </c>
      <c r="E338" s="27" t="s">
        <v>411</v>
      </c>
      <c r="F338" s="28">
        <v>2830</v>
      </c>
      <c r="G338" s="28">
        <f t="shared" si="7"/>
        <v>2938</v>
      </c>
      <c r="H338" s="48">
        <v>3.7999999999999999E-2</v>
      </c>
      <c r="I338" s="31"/>
      <c r="J338" s="16"/>
      <c r="K338" s="18"/>
    </row>
    <row r="339" spans="2:11">
      <c r="B339" s="29" t="s">
        <v>373</v>
      </c>
      <c r="C339" s="30">
        <v>5411692123918</v>
      </c>
      <c r="D339" s="26">
        <v>3302520</v>
      </c>
      <c r="E339" s="27" t="s">
        <v>412</v>
      </c>
      <c r="F339" s="28">
        <v>2940</v>
      </c>
      <c r="G339" s="28">
        <f t="shared" si="7"/>
        <v>3052</v>
      </c>
      <c r="H339" s="48">
        <v>3.7999999999999999E-2</v>
      </c>
      <c r="I339" s="31"/>
      <c r="J339" s="16"/>
      <c r="K339" s="18"/>
    </row>
    <row r="340" spans="2:11">
      <c r="B340" s="29" t="s">
        <v>373</v>
      </c>
      <c r="C340" s="30">
        <v>5411692021733</v>
      </c>
      <c r="D340" s="26">
        <v>3301985</v>
      </c>
      <c r="E340" s="27" t="s">
        <v>413</v>
      </c>
      <c r="F340" s="28">
        <v>3350</v>
      </c>
      <c r="G340" s="28">
        <f t="shared" si="7"/>
        <v>3477</v>
      </c>
      <c r="H340" s="48">
        <v>3.7999999999999999E-2</v>
      </c>
      <c r="I340" s="36"/>
      <c r="J340" s="16"/>
      <c r="K340" s="18"/>
    </row>
    <row r="341" spans="2:11">
      <c r="B341" s="29" t="s">
        <v>373</v>
      </c>
      <c r="C341" s="30">
        <v>5411692123925</v>
      </c>
      <c r="D341" s="26">
        <v>3302521</v>
      </c>
      <c r="E341" s="27" t="s">
        <v>414</v>
      </c>
      <c r="F341" s="28">
        <v>5136</v>
      </c>
      <c r="G341" s="28">
        <f t="shared" si="7"/>
        <v>5331</v>
      </c>
      <c r="H341" s="48">
        <v>3.7999999999999999E-2</v>
      </c>
      <c r="I341" s="31"/>
      <c r="J341" s="16"/>
      <c r="K341" s="18"/>
    </row>
    <row r="342" spans="2:11">
      <c r="B342" s="29" t="s">
        <v>373</v>
      </c>
      <c r="C342" s="30">
        <v>5411692123949</v>
      </c>
      <c r="D342" s="26">
        <v>3302523</v>
      </c>
      <c r="E342" s="27" t="s">
        <v>415</v>
      </c>
      <c r="F342" s="28">
        <v>5247</v>
      </c>
      <c r="G342" s="28">
        <f t="shared" si="7"/>
        <v>5446</v>
      </c>
      <c r="H342" s="48">
        <v>3.7999999999999999E-2</v>
      </c>
      <c r="I342" s="31"/>
      <c r="J342" s="16"/>
      <c r="K342" s="18"/>
    </row>
    <row r="343" spans="2:11">
      <c r="B343" s="29" t="s">
        <v>373</v>
      </c>
      <c r="C343" s="30">
        <v>5411692021740</v>
      </c>
      <c r="D343" s="26">
        <v>3301986</v>
      </c>
      <c r="E343" s="27" t="s">
        <v>416</v>
      </c>
      <c r="F343" s="28">
        <v>6368</v>
      </c>
      <c r="G343" s="28">
        <f t="shared" si="7"/>
        <v>6610</v>
      </c>
      <c r="H343" s="48">
        <v>3.7999999999999999E-2</v>
      </c>
      <c r="I343" s="36"/>
      <c r="J343" s="16"/>
      <c r="K343" s="18"/>
    </row>
    <row r="344" spans="2:11">
      <c r="B344" s="29" t="s">
        <v>417</v>
      </c>
      <c r="C344" s="30">
        <v>5414849095717</v>
      </c>
      <c r="D344" s="26">
        <v>3301814</v>
      </c>
      <c r="E344" s="27" t="s">
        <v>418</v>
      </c>
      <c r="F344" s="28">
        <v>799</v>
      </c>
      <c r="G344" s="28">
        <f t="shared" si="7"/>
        <v>831</v>
      </c>
      <c r="H344" s="48">
        <v>0.04</v>
      </c>
      <c r="I344" s="35"/>
      <c r="J344" s="16"/>
      <c r="K344" s="18"/>
    </row>
    <row r="345" spans="2:11">
      <c r="B345" s="29" t="s">
        <v>417</v>
      </c>
      <c r="C345" s="30">
        <v>5414849071469</v>
      </c>
      <c r="D345" s="26">
        <v>3301821</v>
      </c>
      <c r="E345" s="27" t="s">
        <v>419</v>
      </c>
      <c r="F345" s="28">
        <v>1016</v>
      </c>
      <c r="G345" s="28">
        <f t="shared" si="7"/>
        <v>1057</v>
      </c>
      <c r="H345" s="48">
        <v>0.04</v>
      </c>
      <c r="I345" s="33"/>
      <c r="J345" s="16"/>
      <c r="K345" s="18"/>
    </row>
    <row r="346" spans="2:11">
      <c r="B346" s="29" t="s">
        <v>420</v>
      </c>
      <c r="C346" s="30">
        <v>5414849383234</v>
      </c>
      <c r="D346" s="26">
        <v>3083059</v>
      </c>
      <c r="E346" s="27" t="s">
        <v>421</v>
      </c>
      <c r="F346" s="28">
        <v>83</v>
      </c>
      <c r="G346" s="28">
        <f t="shared" si="7"/>
        <v>83</v>
      </c>
      <c r="H346" s="48">
        <v>0</v>
      </c>
      <c r="I346" s="33"/>
      <c r="J346" s="16"/>
      <c r="K346" s="18"/>
    </row>
    <row r="347" spans="2:11">
      <c r="B347" s="29" t="s">
        <v>420</v>
      </c>
      <c r="C347" s="30">
        <v>5414849634718</v>
      </c>
      <c r="D347" s="26">
        <v>3319002</v>
      </c>
      <c r="E347" s="27" t="s">
        <v>422</v>
      </c>
      <c r="F347" s="28">
        <v>118</v>
      </c>
      <c r="G347" s="28">
        <f t="shared" si="7"/>
        <v>118</v>
      </c>
      <c r="H347" s="48">
        <v>0</v>
      </c>
      <c r="I347" s="33"/>
      <c r="J347" s="16"/>
      <c r="K347" s="18"/>
    </row>
    <row r="348" spans="2:11">
      <c r="B348" s="29" t="s">
        <v>420</v>
      </c>
      <c r="C348" s="30">
        <v>5414849760356</v>
      </c>
      <c r="D348" s="26">
        <v>3024383</v>
      </c>
      <c r="E348" s="27" t="s">
        <v>423</v>
      </c>
      <c r="F348" s="28">
        <v>28</v>
      </c>
      <c r="G348" s="28">
        <f t="shared" si="7"/>
        <v>28</v>
      </c>
      <c r="H348" s="48">
        <v>0</v>
      </c>
      <c r="I348" s="33"/>
      <c r="J348" s="16"/>
      <c r="K348" s="18"/>
    </row>
    <row r="349" spans="2:11">
      <c r="B349" s="29" t="s">
        <v>420</v>
      </c>
      <c r="C349" s="30">
        <v>5414849654716</v>
      </c>
      <c r="D349" s="26">
        <v>3078097</v>
      </c>
      <c r="E349" s="27" t="s">
        <v>424</v>
      </c>
      <c r="F349" s="28">
        <v>102</v>
      </c>
      <c r="G349" s="28">
        <f t="shared" si="7"/>
        <v>102</v>
      </c>
      <c r="H349" s="48">
        <v>0</v>
      </c>
      <c r="I349" s="33"/>
      <c r="J349" s="16"/>
      <c r="K349" s="18"/>
    </row>
    <row r="350" spans="2:11">
      <c r="B350" s="29" t="s">
        <v>420</v>
      </c>
      <c r="C350" s="30">
        <v>5414849884144</v>
      </c>
      <c r="D350" s="26">
        <v>3060712</v>
      </c>
      <c r="E350" s="27" t="s">
        <v>425</v>
      </c>
      <c r="F350" s="28">
        <v>370</v>
      </c>
      <c r="G350" s="28">
        <f t="shared" si="7"/>
        <v>385</v>
      </c>
      <c r="H350" s="48">
        <v>0.04</v>
      </c>
      <c r="I350" s="37"/>
      <c r="J350" s="16"/>
      <c r="K350" s="18"/>
    </row>
    <row r="351" spans="2:11">
      <c r="B351" s="29" t="s">
        <v>420</v>
      </c>
      <c r="C351" s="30">
        <v>5414849884151</v>
      </c>
      <c r="D351" s="26">
        <v>3060713</v>
      </c>
      <c r="E351" s="27" t="s">
        <v>426</v>
      </c>
      <c r="F351" s="28">
        <v>484</v>
      </c>
      <c r="G351" s="28">
        <f t="shared" si="7"/>
        <v>503</v>
      </c>
      <c r="H351" s="48">
        <v>0.04</v>
      </c>
      <c r="I351" s="37"/>
      <c r="J351" s="16"/>
      <c r="K351" s="18"/>
    </row>
    <row r="352" spans="2:11">
      <c r="B352" s="29" t="s">
        <v>420</v>
      </c>
      <c r="C352" s="30" t="s">
        <v>427</v>
      </c>
      <c r="D352" s="26">
        <v>3060863</v>
      </c>
      <c r="E352" s="27" t="s">
        <v>428</v>
      </c>
      <c r="F352" s="28">
        <v>534</v>
      </c>
      <c r="G352" s="28">
        <f t="shared" si="7"/>
        <v>555</v>
      </c>
      <c r="H352" s="48">
        <v>0.04</v>
      </c>
      <c r="I352" s="37"/>
      <c r="J352" s="16"/>
      <c r="K352" s="18"/>
    </row>
    <row r="353" spans="2:11">
      <c r="B353" s="29" t="s">
        <v>420</v>
      </c>
      <c r="C353" s="30" t="s">
        <v>429</v>
      </c>
      <c r="D353" s="26">
        <v>3060864</v>
      </c>
      <c r="E353" s="27" t="s">
        <v>430</v>
      </c>
      <c r="F353" s="28">
        <v>548</v>
      </c>
      <c r="G353" s="28">
        <f t="shared" si="7"/>
        <v>570</v>
      </c>
      <c r="H353" s="48">
        <v>0.04</v>
      </c>
      <c r="I353" s="37"/>
      <c r="J353" s="16"/>
      <c r="K353" s="18"/>
    </row>
    <row r="354" spans="2:11">
      <c r="B354" s="29" t="s">
        <v>420</v>
      </c>
      <c r="C354" s="30" t="s">
        <v>431</v>
      </c>
      <c r="D354" s="26">
        <v>3060865</v>
      </c>
      <c r="E354" s="27" t="s">
        <v>432</v>
      </c>
      <c r="F354" s="28">
        <v>852</v>
      </c>
      <c r="G354" s="28">
        <f t="shared" si="7"/>
        <v>886</v>
      </c>
      <c r="H354" s="48">
        <v>0.04</v>
      </c>
      <c r="I354" s="37"/>
      <c r="J354" s="16"/>
      <c r="K354" s="18"/>
    </row>
    <row r="355" spans="2:11">
      <c r="B355" s="29" t="s">
        <v>420</v>
      </c>
      <c r="C355" s="30">
        <v>5414849651050</v>
      </c>
      <c r="D355" s="26">
        <v>3319078</v>
      </c>
      <c r="E355" s="27" t="s">
        <v>433</v>
      </c>
      <c r="F355" s="28">
        <v>208</v>
      </c>
      <c r="G355" s="28">
        <f t="shared" si="7"/>
        <v>208</v>
      </c>
      <c r="H355" s="48">
        <v>0</v>
      </c>
      <c r="I355" s="33"/>
      <c r="J355" s="16"/>
      <c r="K355" s="18"/>
    </row>
    <row r="356" spans="2:11">
      <c r="B356" s="29" t="s">
        <v>420</v>
      </c>
      <c r="C356" s="30">
        <v>5414849590250</v>
      </c>
      <c r="D356" s="26">
        <v>3318962</v>
      </c>
      <c r="E356" s="27" t="s">
        <v>434</v>
      </c>
      <c r="F356" s="22">
        <v>17</v>
      </c>
      <c r="G356" s="28">
        <f t="shared" si="7"/>
        <v>17</v>
      </c>
      <c r="H356" s="48">
        <v>0</v>
      </c>
      <c r="I356" s="33"/>
      <c r="J356" s="16"/>
      <c r="K356" s="18"/>
    </row>
    <row r="357" spans="2:11">
      <c r="B357" s="29" t="s">
        <v>420</v>
      </c>
      <c r="C357" s="30">
        <v>5414849718043</v>
      </c>
      <c r="D357" s="26">
        <v>3078156</v>
      </c>
      <c r="E357" s="27" t="s">
        <v>435</v>
      </c>
      <c r="F357" s="28">
        <v>146</v>
      </c>
      <c r="G357" s="28">
        <f t="shared" si="7"/>
        <v>146</v>
      </c>
      <c r="H357" s="48">
        <v>0</v>
      </c>
      <c r="I357" s="33"/>
      <c r="J357" s="16"/>
      <c r="K357" s="18"/>
    </row>
    <row r="358" spans="2:11">
      <c r="B358" s="29" t="s">
        <v>420</v>
      </c>
      <c r="C358" s="30">
        <v>5414849562240</v>
      </c>
      <c r="D358" s="26">
        <v>3318925</v>
      </c>
      <c r="E358" s="27" t="s">
        <v>436</v>
      </c>
      <c r="F358" s="28">
        <v>164</v>
      </c>
      <c r="G358" s="28">
        <f t="shared" si="7"/>
        <v>164</v>
      </c>
      <c r="H358" s="48">
        <v>0</v>
      </c>
      <c r="I358" s="33"/>
      <c r="J358" s="16"/>
      <c r="K358" s="18"/>
    </row>
    <row r="359" spans="2:11">
      <c r="B359" s="29" t="s">
        <v>420</v>
      </c>
      <c r="C359" s="30">
        <v>5414849866331</v>
      </c>
      <c r="D359" s="26">
        <v>3319687</v>
      </c>
      <c r="E359" s="27" t="s">
        <v>437</v>
      </c>
      <c r="F359" s="28">
        <v>153</v>
      </c>
      <c r="G359" s="28">
        <f t="shared" si="7"/>
        <v>153</v>
      </c>
      <c r="H359" s="48">
        <v>0</v>
      </c>
      <c r="I359" s="33"/>
      <c r="J359" s="21"/>
      <c r="K359" s="18"/>
    </row>
    <row r="360" spans="2:11">
      <c r="B360" s="29" t="s">
        <v>420</v>
      </c>
      <c r="C360" s="30" t="s">
        <v>438</v>
      </c>
      <c r="D360" s="26">
        <v>3319667</v>
      </c>
      <c r="E360" s="27" t="s">
        <v>439</v>
      </c>
      <c r="F360" s="28">
        <v>361</v>
      </c>
      <c r="G360" s="28">
        <f t="shared" si="7"/>
        <v>361</v>
      </c>
      <c r="H360" s="48">
        <v>0</v>
      </c>
      <c r="I360" s="33"/>
      <c r="J360" s="16"/>
      <c r="K360" s="18"/>
    </row>
    <row r="361" spans="2:11">
      <c r="B361" s="29" t="s">
        <v>420</v>
      </c>
      <c r="C361" s="30" t="s">
        <v>440</v>
      </c>
      <c r="D361" s="26">
        <v>3319657</v>
      </c>
      <c r="E361" s="27" t="s">
        <v>441</v>
      </c>
      <c r="F361" s="28">
        <v>194</v>
      </c>
      <c r="G361" s="28">
        <f t="shared" si="7"/>
        <v>194</v>
      </c>
      <c r="H361" s="48">
        <v>0</v>
      </c>
      <c r="I361" s="33"/>
      <c r="J361" s="16"/>
      <c r="K361" s="18"/>
    </row>
    <row r="362" spans="2:11">
      <c r="B362" s="29" t="s">
        <v>420</v>
      </c>
      <c r="C362" s="30" t="s">
        <v>442</v>
      </c>
      <c r="D362" s="26">
        <v>3319660</v>
      </c>
      <c r="E362" s="27" t="s">
        <v>443</v>
      </c>
      <c r="F362" s="28">
        <v>243</v>
      </c>
      <c r="G362" s="28">
        <f t="shared" si="7"/>
        <v>243</v>
      </c>
      <c r="H362" s="48">
        <v>0</v>
      </c>
      <c r="I362" s="33"/>
      <c r="J362" s="16"/>
      <c r="K362" s="18"/>
    </row>
    <row r="363" spans="2:11">
      <c r="B363" s="29" t="s">
        <v>420</v>
      </c>
      <c r="C363" s="30" t="s">
        <v>444</v>
      </c>
      <c r="D363" s="26">
        <v>3319671</v>
      </c>
      <c r="E363" s="27" t="s">
        <v>445</v>
      </c>
      <c r="F363" s="28">
        <v>207</v>
      </c>
      <c r="G363" s="28">
        <f t="shared" si="7"/>
        <v>207</v>
      </c>
      <c r="H363" s="48">
        <v>0</v>
      </c>
      <c r="I363" s="33"/>
      <c r="J363" s="16"/>
      <c r="K363" s="18"/>
    </row>
    <row r="364" spans="2:11">
      <c r="B364" s="29" t="s">
        <v>420</v>
      </c>
      <c r="C364" s="30" t="s">
        <v>446</v>
      </c>
      <c r="D364" s="26">
        <v>3319670</v>
      </c>
      <c r="E364" s="27" t="s">
        <v>447</v>
      </c>
      <c r="F364" s="28">
        <v>295</v>
      </c>
      <c r="G364" s="28">
        <f t="shared" si="7"/>
        <v>295</v>
      </c>
      <c r="H364" s="48">
        <v>0</v>
      </c>
      <c r="I364" s="33"/>
      <c r="J364" s="16"/>
      <c r="K364" s="18"/>
    </row>
    <row r="365" spans="2:11">
      <c r="B365" s="29" t="s">
        <v>420</v>
      </c>
      <c r="C365" s="30" t="s">
        <v>448</v>
      </c>
      <c r="D365" s="26">
        <v>3319661</v>
      </c>
      <c r="E365" s="27" t="s">
        <v>449</v>
      </c>
      <c r="F365" s="28">
        <v>139</v>
      </c>
      <c r="G365" s="28">
        <f t="shared" si="7"/>
        <v>139</v>
      </c>
      <c r="H365" s="48">
        <v>0</v>
      </c>
      <c r="I365" s="33"/>
      <c r="J365" s="16"/>
      <c r="K365" s="18"/>
    </row>
    <row r="366" spans="2:11">
      <c r="B366" s="29" t="s">
        <v>420</v>
      </c>
      <c r="C366" s="30" t="s">
        <v>450</v>
      </c>
      <c r="D366" s="26">
        <v>3319664</v>
      </c>
      <c r="E366" s="27" t="s">
        <v>451</v>
      </c>
      <c r="F366" s="28">
        <v>107</v>
      </c>
      <c r="G366" s="28">
        <f t="shared" si="7"/>
        <v>107</v>
      </c>
      <c r="H366" s="48">
        <v>0</v>
      </c>
      <c r="I366" s="33"/>
      <c r="J366" s="16"/>
      <c r="K366" s="18"/>
    </row>
    <row r="367" spans="2:11">
      <c r="B367" s="29" t="s">
        <v>420</v>
      </c>
      <c r="C367" s="30" t="s">
        <v>452</v>
      </c>
      <c r="D367" s="26">
        <v>3319662</v>
      </c>
      <c r="E367" s="27" t="s">
        <v>453</v>
      </c>
      <c r="F367" s="28">
        <v>171</v>
      </c>
      <c r="G367" s="28">
        <f t="shared" si="7"/>
        <v>171</v>
      </c>
      <c r="H367" s="48">
        <v>0</v>
      </c>
      <c r="I367" s="33"/>
      <c r="J367" s="16"/>
      <c r="K367" s="18"/>
    </row>
    <row r="368" spans="2:11">
      <c r="B368" s="29" t="s">
        <v>420</v>
      </c>
      <c r="C368" s="30">
        <v>5411692269227</v>
      </c>
      <c r="D368" s="26">
        <v>4267013</v>
      </c>
      <c r="E368" s="27" t="s">
        <v>666</v>
      </c>
      <c r="F368" s="28">
        <v>1400</v>
      </c>
      <c r="G368" s="28">
        <f t="shared" si="7"/>
        <v>1400</v>
      </c>
      <c r="H368" s="48">
        <v>0</v>
      </c>
      <c r="I368" s="31" t="s">
        <v>667</v>
      </c>
      <c r="J368" s="16"/>
      <c r="K368" s="18"/>
    </row>
    <row r="369" spans="2:11">
      <c r="B369" s="29" t="s">
        <v>420</v>
      </c>
      <c r="C369" s="30">
        <v>5414849286832</v>
      </c>
      <c r="D369" s="26">
        <v>3024175</v>
      </c>
      <c r="E369" s="27" t="s">
        <v>454</v>
      </c>
      <c r="F369" s="28">
        <v>36</v>
      </c>
      <c r="G369" s="28">
        <f t="shared" si="7"/>
        <v>36</v>
      </c>
      <c r="H369" s="48">
        <v>0</v>
      </c>
      <c r="I369" s="33"/>
      <c r="J369" s="16"/>
      <c r="K369" s="18"/>
    </row>
    <row r="370" spans="2:11">
      <c r="B370" s="29" t="s">
        <v>420</v>
      </c>
      <c r="C370" s="30">
        <v>5414849682665</v>
      </c>
      <c r="D370" s="26">
        <v>3078104</v>
      </c>
      <c r="E370" s="27" t="s">
        <v>455</v>
      </c>
      <c r="F370" s="28">
        <v>221</v>
      </c>
      <c r="G370" s="28">
        <f t="shared" si="7"/>
        <v>221</v>
      </c>
      <c r="H370" s="48">
        <v>0</v>
      </c>
      <c r="I370" s="33"/>
      <c r="J370" s="16"/>
      <c r="K370" s="18"/>
    </row>
    <row r="371" spans="2:11">
      <c r="B371" s="29" t="s">
        <v>420</v>
      </c>
      <c r="C371" s="30">
        <v>5414849651043</v>
      </c>
      <c r="D371" s="26">
        <v>3319077</v>
      </c>
      <c r="E371" s="27" t="s">
        <v>456</v>
      </c>
      <c r="F371" s="28">
        <v>193</v>
      </c>
      <c r="G371" s="28">
        <f t="shared" si="7"/>
        <v>193</v>
      </c>
      <c r="H371" s="48">
        <v>0</v>
      </c>
      <c r="I371" s="33"/>
      <c r="J371" s="16"/>
      <c r="K371" s="18"/>
    </row>
    <row r="372" spans="2:11">
      <c r="B372" s="29" t="s">
        <v>457</v>
      </c>
      <c r="C372" s="30" t="s">
        <v>458</v>
      </c>
      <c r="D372" s="26">
        <v>3060704</v>
      </c>
      <c r="E372" s="27" t="s">
        <v>459</v>
      </c>
      <c r="F372" s="22">
        <v>1625</v>
      </c>
      <c r="G372" s="28">
        <f t="shared" si="7"/>
        <v>1690</v>
      </c>
      <c r="H372" s="48">
        <v>0.04</v>
      </c>
      <c r="I372" s="33"/>
      <c r="J372" s="16"/>
      <c r="K372" s="18"/>
    </row>
    <row r="373" spans="2:11">
      <c r="B373" s="29" t="s">
        <v>457</v>
      </c>
      <c r="C373" s="30" t="s">
        <v>460</v>
      </c>
      <c r="D373" s="26">
        <v>3060705</v>
      </c>
      <c r="E373" s="27" t="s">
        <v>461</v>
      </c>
      <c r="F373" s="22">
        <v>2136</v>
      </c>
      <c r="G373" s="28">
        <f t="shared" si="7"/>
        <v>2221</v>
      </c>
      <c r="H373" s="48">
        <v>0.04</v>
      </c>
      <c r="I373" s="33"/>
      <c r="J373" s="16"/>
      <c r="K373" s="18"/>
    </row>
    <row r="374" spans="2:11">
      <c r="B374" s="29" t="s">
        <v>457</v>
      </c>
      <c r="C374" s="30" t="s">
        <v>462</v>
      </c>
      <c r="D374" s="26">
        <v>3060706</v>
      </c>
      <c r="E374" s="27" t="s">
        <v>463</v>
      </c>
      <c r="F374" s="22">
        <v>2821</v>
      </c>
      <c r="G374" s="28">
        <f t="shared" si="7"/>
        <v>2934</v>
      </c>
      <c r="H374" s="48">
        <v>0.04</v>
      </c>
      <c r="I374" s="33"/>
      <c r="J374" s="16"/>
      <c r="K374" s="18"/>
    </row>
    <row r="375" spans="2:11">
      <c r="B375" s="29" t="s">
        <v>457</v>
      </c>
      <c r="C375" s="30" t="s">
        <v>464</v>
      </c>
      <c r="D375" s="26">
        <v>3078254</v>
      </c>
      <c r="E375" s="27" t="s">
        <v>465</v>
      </c>
      <c r="F375" s="22">
        <v>248</v>
      </c>
      <c r="G375" s="28">
        <f t="shared" si="7"/>
        <v>248</v>
      </c>
      <c r="H375" s="48">
        <v>0</v>
      </c>
      <c r="I375" s="33"/>
      <c r="J375" s="16"/>
      <c r="K375" s="18"/>
    </row>
    <row r="376" spans="2:11">
      <c r="B376" s="29" t="s">
        <v>457</v>
      </c>
      <c r="C376" s="30" t="s">
        <v>466</v>
      </c>
      <c r="D376" s="26">
        <v>3078256</v>
      </c>
      <c r="E376" s="27" t="s">
        <v>467</v>
      </c>
      <c r="F376" s="28">
        <v>145</v>
      </c>
      <c r="G376" s="28">
        <f t="shared" si="7"/>
        <v>145</v>
      </c>
      <c r="H376" s="48">
        <v>0</v>
      </c>
      <c r="I376" s="33"/>
      <c r="J376" s="16"/>
      <c r="K376" s="18"/>
    </row>
    <row r="377" spans="2:11">
      <c r="B377" s="29" t="s">
        <v>457</v>
      </c>
      <c r="C377" s="30" t="s">
        <v>60</v>
      </c>
      <c r="D377" s="26">
        <v>4105006</v>
      </c>
      <c r="E377" s="27" t="s">
        <v>468</v>
      </c>
      <c r="F377" s="28">
        <v>580</v>
      </c>
      <c r="G377" s="28">
        <f t="shared" si="7"/>
        <v>580</v>
      </c>
      <c r="H377" s="48">
        <v>0</v>
      </c>
      <c r="I377" s="33" t="s">
        <v>592</v>
      </c>
      <c r="J377" s="16"/>
      <c r="K377" s="18"/>
    </row>
    <row r="378" spans="2:11">
      <c r="B378" s="29" t="s">
        <v>457</v>
      </c>
      <c r="C378" s="30" t="s">
        <v>60</v>
      </c>
      <c r="D378" s="26">
        <v>4105007</v>
      </c>
      <c r="E378" s="27" t="s">
        <v>469</v>
      </c>
      <c r="F378" s="28">
        <v>660</v>
      </c>
      <c r="G378" s="28">
        <f t="shared" si="7"/>
        <v>660</v>
      </c>
      <c r="H378" s="48">
        <v>0</v>
      </c>
      <c r="I378" s="33" t="s">
        <v>592</v>
      </c>
      <c r="J378" s="16"/>
      <c r="K378" s="18"/>
    </row>
    <row r="379" spans="2:11">
      <c r="B379" s="29" t="s">
        <v>457</v>
      </c>
      <c r="C379" s="30" t="s">
        <v>60</v>
      </c>
      <c r="D379" s="26">
        <v>4105014</v>
      </c>
      <c r="E379" s="27" t="s">
        <v>470</v>
      </c>
      <c r="F379" s="28">
        <v>21</v>
      </c>
      <c r="G379" s="28">
        <f t="shared" si="7"/>
        <v>21</v>
      </c>
      <c r="H379" s="48">
        <v>0</v>
      </c>
      <c r="I379" s="33" t="s">
        <v>592</v>
      </c>
      <c r="J379" s="16"/>
      <c r="K379" s="18"/>
    </row>
    <row r="380" spans="2:11">
      <c r="B380" s="29" t="s">
        <v>471</v>
      </c>
      <c r="C380" s="30">
        <v>5414849935419</v>
      </c>
      <c r="D380" s="26">
        <v>3301542</v>
      </c>
      <c r="E380" s="27" t="s">
        <v>472</v>
      </c>
      <c r="F380" s="28">
        <v>861</v>
      </c>
      <c r="G380" s="28">
        <f t="shared" si="7"/>
        <v>894</v>
      </c>
      <c r="H380" s="48">
        <v>3.7999999999999999E-2</v>
      </c>
      <c r="I380" s="33"/>
      <c r="J380" s="16"/>
      <c r="K380" s="18"/>
    </row>
    <row r="381" spans="2:11">
      <c r="B381" s="29" t="s">
        <v>471</v>
      </c>
      <c r="C381" s="30">
        <v>5414849935433</v>
      </c>
      <c r="D381" s="26">
        <v>3301544</v>
      </c>
      <c r="E381" s="27" t="s">
        <v>473</v>
      </c>
      <c r="F381" s="28">
        <v>958</v>
      </c>
      <c r="G381" s="28">
        <f t="shared" si="7"/>
        <v>994</v>
      </c>
      <c r="H381" s="48">
        <v>3.7999999999999999E-2</v>
      </c>
      <c r="I381" s="33"/>
      <c r="J381" s="16"/>
      <c r="K381" s="18"/>
    </row>
    <row r="382" spans="2:11">
      <c r="B382" s="29" t="s">
        <v>471</v>
      </c>
      <c r="C382" s="30">
        <v>5414849935457</v>
      </c>
      <c r="D382" s="26">
        <v>3301546</v>
      </c>
      <c r="E382" s="27" t="s">
        <v>474</v>
      </c>
      <c r="F382" s="28">
        <v>483</v>
      </c>
      <c r="G382" s="28">
        <f t="shared" si="7"/>
        <v>501</v>
      </c>
      <c r="H382" s="48">
        <v>3.7999999999999999E-2</v>
      </c>
      <c r="I382" s="33"/>
      <c r="J382" s="16"/>
      <c r="K382" s="18"/>
    </row>
    <row r="383" spans="2:11">
      <c r="B383" s="29" t="s">
        <v>471</v>
      </c>
      <c r="C383" s="30">
        <v>5414849935471</v>
      </c>
      <c r="D383" s="26">
        <v>3301548</v>
      </c>
      <c r="E383" s="27" t="s">
        <v>475</v>
      </c>
      <c r="F383" s="28">
        <v>668</v>
      </c>
      <c r="G383" s="28">
        <f t="shared" si="7"/>
        <v>693</v>
      </c>
      <c r="H383" s="48">
        <v>3.7999999999999999E-2</v>
      </c>
      <c r="I383" s="33"/>
      <c r="J383" s="16"/>
      <c r="K383" s="18"/>
    </row>
    <row r="384" spans="2:11">
      <c r="B384" s="29" t="s">
        <v>476</v>
      </c>
      <c r="C384" s="30">
        <v>5414849935556</v>
      </c>
      <c r="D384" s="26">
        <v>3301556</v>
      </c>
      <c r="E384" s="27" t="s">
        <v>477</v>
      </c>
      <c r="F384" s="28">
        <v>177</v>
      </c>
      <c r="G384" s="28">
        <f t="shared" si="7"/>
        <v>177</v>
      </c>
      <c r="H384" s="48">
        <v>0</v>
      </c>
      <c r="I384" s="33"/>
      <c r="J384" s="16"/>
      <c r="K384" s="18"/>
    </row>
    <row r="385" spans="2:11">
      <c r="B385" s="29" t="s">
        <v>476</v>
      </c>
      <c r="C385" s="30">
        <v>5414849935563</v>
      </c>
      <c r="D385" s="26">
        <v>3301557</v>
      </c>
      <c r="E385" s="27" t="s">
        <v>478</v>
      </c>
      <c r="F385" s="28">
        <v>140</v>
      </c>
      <c r="G385" s="28">
        <f t="shared" si="7"/>
        <v>140</v>
      </c>
      <c r="H385" s="48">
        <v>0</v>
      </c>
      <c r="I385" s="33"/>
      <c r="J385" s="16"/>
      <c r="K385" s="18"/>
    </row>
    <row r="386" spans="2:11">
      <c r="B386" s="29" t="s">
        <v>476</v>
      </c>
      <c r="C386" s="30">
        <v>5414849935570</v>
      </c>
      <c r="D386" s="26">
        <v>3301558</v>
      </c>
      <c r="E386" s="27" t="s">
        <v>479</v>
      </c>
      <c r="F386" s="28">
        <v>140</v>
      </c>
      <c r="G386" s="28">
        <f t="shared" si="7"/>
        <v>140</v>
      </c>
      <c r="H386" s="48">
        <v>0</v>
      </c>
      <c r="I386" s="33"/>
      <c r="J386" s="16"/>
      <c r="K386" s="18"/>
    </row>
    <row r="387" spans="2:11">
      <c r="B387" s="29" t="s">
        <v>476</v>
      </c>
      <c r="C387" s="30">
        <v>5414849935587</v>
      </c>
      <c r="D387" s="26">
        <v>3301559</v>
      </c>
      <c r="E387" s="27" t="s">
        <v>480</v>
      </c>
      <c r="F387" s="28">
        <v>158</v>
      </c>
      <c r="G387" s="28">
        <f t="shared" si="7"/>
        <v>158</v>
      </c>
      <c r="H387" s="48">
        <v>0</v>
      </c>
      <c r="I387" s="33"/>
      <c r="J387" s="16"/>
      <c r="K387" s="18"/>
    </row>
    <row r="388" spans="2:11">
      <c r="B388" s="29" t="s">
        <v>476</v>
      </c>
      <c r="C388" s="30">
        <v>5414849935594</v>
      </c>
      <c r="D388" s="26">
        <v>3301560</v>
      </c>
      <c r="E388" s="27" t="s">
        <v>481</v>
      </c>
      <c r="F388" s="28">
        <v>42</v>
      </c>
      <c r="G388" s="28">
        <f t="shared" si="7"/>
        <v>42</v>
      </c>
      <c r="H388" s="48">
        <v>0</v>
      </c>
      <c r="I388" s="33"/>
      <c r="J388" s="16"/>
      <c r="K388" s="18"/>
    </row>
    <row r="389" spans="2:11">
      <c r="B389" s="29" t="s">
        <v>476</v>
      </c>
      <c r="C389" s="30">
        <v>5414849935617</v>
      </c>
      <c r="D389" s="26">
        <v>3301562</v>
      </c>
      <c r="E389" s="27" t="s">
        <v>482</v>
      </c>
      <c r="F389" s="28">
        <v>52</v>
      </c>
      <c r="G389" s="28">
        <f t="shared" ref="G389:G449" si="8">ROUND(F389+(F389*H389),0)</f>
        <v>52</v>
      </c>
      <c r="H389" s="48">
        <v>0</v>
      </c>
      <c r="I389" s="33"/>
      <c r="J389" s="16"/>
      <c r="K389" s="18"/>
    </row>
    <row r="390" spans="2:11">
      <c r="B390" s="29" t="s">
        <v>476</v>
      </c>
      <c r="C390" s="30">
        <v>5414849935631</v>
      </c>
      <c r="D390" s="26">
        <v>3301564</v>
      </c>
      <c r="E390" s="27" t="s">
        <v>483</v>
      </c>
      <c r="F390" s="28">
        <v>65</v>
      </c>
      <c r="G390" s="28">
        <f t="shared" si="8"/>
        <v>65</v>
      </c>
      <c r="H390" s="48">
        <v>0</v>
      </c>
      <c r="I390" s="33"/>
      <c r="J390" s="16"/>
      <c r="K390" s="18"/>
    </row>
    <row r="391" spans="2:11">
      <c r="B391" s="29" t="s">
        <v>476</v>
      </c>
      <c r="C391" s="30">
        <v>5414849936195</v>
      </c>
      <c r="D391" s="26">
        <v>3301565</v>
      </c>
      <c r="E391" s="27" t="s">
        <v>484</v>
      </c>
      <c r="F391" s="28">
        <v>53</v>
      </c>
      <c r="G391" s="28">
        <f t="shared" si="8"/>
        <v>53</v>
      </c>
      <c r="H391" s="48">
        <v>0</v>
      </c>
      <c r="I391" s="33"/>
      <c r="J391" s="16"/>
      <c r="K391" s="18"/>
    </row>
    <row r="392" spans="2:11">
      <c r="B392" s="29" t="s">
        <v>471</v>
      </c>
      <c r="C392" s="30">
        <v>5411692124960</v>
      </c>
      <c r="D392" s="26">
        <v>3856002</v>
      </c>
      <c r="E392" s="27" t="s">
        <v>485</v>
      </c>
      <c r="F392" s="28">
        <v>411</v>
      </c>
      <c r="G392" s="28">
        <f t="shared" si="8"/>
        <v>427</v>
      </c>
      <c r="H392" s="48">
        <v>3.7999999999999999E-2</v>
      </c>
      <c r="I392" s="38"/>
      <c r="J392" s="16"/>
      <c r="K392" s="18"/>
    </row>
    <row r="393" spans="2:11">
      <c r="B393" s="29" t="s">
        <v>471</v>
      </c>
      <c r="C393" s="30">
        <v>5411692124953</v>
      </c>
      <c r="D393" s="26">
        <v>3856003</v>
      </c>
      <c r="E393" s="27" t="s">
        <v>486</v>
      </c>
      <c r="F393" s="28">
        <v>432</v>
      </c>
      <c r="G393" s="28">
        <f t="shared" si="8"/>
        <v>448</v>
      </c>
      <c r="H393" s="48">
        <v>3.7999999999999999E-2</v>
      </c>
      <c r="I393" s="38"/>
      <c r="J393" s="16"/>
      <c r="K393" s="18"/>
    </row>
    <row r="394" spans="2:11">
      <c r="B394" s="29" t="s">
        <v>471</v>
      </c>
      <c r="C394" s="30">
        <v>5411692124977</v>
      </c>
      <c r="D394" s="26">
        <v>3856004</v>
      </c>
      <c r="E394" s="27" t="s">
        <v>487</v>
      </c>
      <c r="F394" s="28">
        <v>475</v>
      </c>
      <c r="G394" s="28">
        <f t="shared" si="8"/>
        <v>493</v>
      </c>
      <c r="H394" s="48">
        <v>3.7999999999999999E-2</v>
      </c>
      <c r="I394" s="38"/>
      <c r="J394" s="16"/>
      <c r="K394" s="18"/>
    </row>
    <row r="395" spans="2:11">
      <c r="B395" s="29" t="s">
        <v>471</v>
      </c>
      <c r="C395" s="30">
        <v>5411692124991</v>
      </c>
      <c r="D395" s="26">
        <v>3856006</v>
      </c>
      <c r="E395" s="27" t="s">
        <v>488</v>
      </c>
      <c r="F395" s="28">
        <v>672</v>
      </c>
      <c r="G395" s="28">
        <f t="shared" si="8"/>
        <v>698</v>
      </c>
      <c r="H395" s="48">
        <v>3.7999999999999999E-2</v>
      </c>
      <c r="I395" s="38"/>
      <c r="J395" s="16"/>
      <c r="K395" s="18"/>
    </row>
    <row r="396" spans="2:11">
      <c r="B396" s="29" t="s">
        <v>471</v>
      </c>
      <c r="C396" s="30">
        <v>5411692124984</v>
      </c>
      <c r="D396" s="26">
        <v>3856005</v>
      </c>
      <c r="E396" s="27" t="s">
        <v>489</v>
      </c>
      <c r="F396" s="28">
        <v>782</v>
      </c>
      <c r="G396" s="28">
        <f t="shared" si="8"/>
        <v>812</v>
      </c>
      <c r="H396" s="48">
        <v>3.7999999999999999E-2</v>
      </c>
      <c r="I396" s="38"/>
      <c r="J396" s="16"/>
      <c r="K396" s="18"/>
    </row>
    <row r="397" spans="2:11">
      <c r="B397" s="29" t="s">
        <v>476</v>
      </c>
      <c r="C397" s="30">
        <v>5414849988767</v>
      </c>
      <c r="D397" s="26">
        <v>4267005</v>
      </c>
      <c r="E397" s="27" t="s">
        <v>490</v>
      </c>
      <c r="F397" s="28">
        <v>213</v>
      </c>
      <c r="G397" s="28">
        <f t="shared" si="8"/>
        <v>213</v>
      </c>
      <c r="H397" s="48">
        <v>0</v>
      </c>
      <c r="I397" s="31"/>
      <c r="J397" s="16"/>
      <c r="K397" s="18"/>
    </row>
    <row r="398" spans="2:11">
      <c r="B398" s="29" t="s">
        <v>476</v>
      </c>
      <c r="C398" s="30">
        <v>5414849988774</v>
      </c>
      <c r="D398" s="26">
        <v>3381567</v>
      </c>
      <c r="E398" s="27" t="s">
        <v>491</v>
      </c>
      <c r="F398" s="28">
        <v>121</v>
      </c>
      <c r="G398" s="28">
        <f t="shared" si="8"/>
        <v>121</v>
      </c>
      <c r="H398" s="48">
        <v>0</v>
      </c>
      <c r="I398" s="36"/>
      <c r="J398" s="16"/>
      <c r="K398" s="18"/>
    </row>
    <row r="399" spans="2:11">
      <c r="B399" s="29" t="s">
        <v>492</v>
      </c>
      <c r="C399" s="30">
        <v>5414849981751</v>
      </c>
      <c r="D399" s="26">
        <v>3381411</v>
      </c>
      <c r="E399" s="27" t="s">
        <v>493</v>
      </c>
      <c r="F399" s="28">
        <v>627</v>
      </c>
      <c r="G399" s="28">
        <f t="shared" si="8"/>
        <v>651</v>
      </c>
      <c r="H399" s="48">
        <v>3.7999999999999999E-2</v>
      </c>
      <c r="I399" s="33"/>
      <c r="J399" s="16"/>
      <c r="K399" s="18"/>
    </row>
    <row r="400" spans="2:11">
      <c r="B400" s="29" t="s">
        <v>492</v>
      </c>
      <c r="C400" s="30">
        <v>5411692328313</v>
      </c>
      <c r="D400" s="26">
        <v>4213061</v>
      </c>
      <c r="E400" s="27" t="s">
        <v>601</v>
      </c>
      <c r="F400" s="28">
        <v>661</v>
      </c>
      <c r="G400" s="28">
        <f t="shared" si="8"/>
        <v>686</v>
      </c>
      <c r="H400" s="48">
        <v>3.7999999999999999E-2</v>
      </c>
      <c r="I400" s="31" t="s">
        <v>596</v>
      </c>
      <c r="J400" s="16"/>
      <c r="K400" s="18"/>
    </row>
    <row r="401" spans="2:11">
      <c r="B401" s="29" t="s">
        <v>492</v>
      </c>
      <c r="C401" s="30">
        <v>5411692328306</v>
      </c>
      <c r="D401" s="26">
        <v>4213062</v>
      </c>
      <c r="E401" s="27" t="s">
        <v>600</v>
      </c>
      <c r="F401" s="28">
        <v>1127</v>
      </c>
      <c r="G401" s="28">
        <f t="shared" si="8"/>
        <v>1170</v>
      </c>
      <c r="H401" s="48">
        <v>3.7999999999999999E-2</v>
      </c>
      <c r="I401" s="31" t="s">
        <v>597</v>
      </c>
      <c r="J401" s="16"/>
      <c r="K401" s="18"/>
    </row>
    <row r="402" spans="2:11">
      <c r="B402" s="29" t="s">
        <v>492</v>
      </c>
      <c r="C402" s="30">
        <v>5411692328290</v>
      </c>
      <c r="D402" s="26">
        <v>4213063</v>
      </c>
      <c r="E402" s="27" t="s">
        <v>599</v>
      </c>
      <c r="F402" s="28">
        <v>1296</v>
      </c>
      <c r="G402" s="28">
        <f t="shared" si="8"/>
        <v>1345</v>
      </c>
      <c r="H402" s="48">
        <v>3.7999999999999999E-2</v>
      </c>
      <c r="I402" s="31" t="s">
        <v>598</v>
      </c>
      <c r="J402" s="16"/>
      <c r="K402" s="18"/>
    </row>
    <row r="403" spans="2:11">
      <c r="B403" s="29" t="s">
        <v>492</v>
      </c>
      <c r="C403" s="30">
        <v>5411692328153</v>
      </c>
      <c r="D403" s="26">
        <v>4213067</v>
      </c>
      <c r="E403" s="27" t="s">
        <v>613</v>
      </c>
      <c r="F403" s="28">
        <v>824</v>
      </c>
      <c r="G403" s="28">
        <f t="shared" si="8"/>
        <v>855</v>
      </c>
      <c r="H403" s="48">
        <v>3.7999999999999999E-2</v>
      </c>
      <c r="I403" s="31" t="s">
        <v>610</v>
      </c>
      <c r="J403" s="16"/>
      <c r="K403" s="18"/>
    </row>
    <row r="404" spans="2:11">
      <c r="B404" s="29" t="s">
        <v>492</v>
      </c>
      <c r="C404" s="30">
        <v>5411692328146</v>
      </c>
      <c r="D404" s="26">
        <v>4213068</v>
      </c>
      <c r="E404" s="27" t="s">
        <v>614</v>
      </c>
      <c r="F404" s="28">
        <v>866</v>
      </c>
      <c r="G404" s="28">
        <f t="shared" si="8"/>
        <v>899</v>
      </c>
      <c r="H404" s="48">
        <v>3.7999999999999999E-2</v>
      </c>
      <c r="I404" s="31" t="s">
        <v>611</v>
      </c>
      <c r="J404" s="16"/>
      <c r="K404" s="18"/>
    </row>
    <row r="405" spans="2:11">
      <c r="B405" s="29" t="s">
        <v>492</v>
      </c>
      <c r="C405" s="30">
        <v>5411692328139</v>
      </c>
      <c r="D405" s="26">
        <v>4213069</v>
      </c>
      <c r="E405" s="27" t="s">
        <v>615</v>
      </c>
      <c r="F405" s="28">
        <v>1420</v>
      </c>
      <c r="G405" s="28">
        <f t="shared" si="8"/>
        <v>1474</v>
      </c>
      <c r="H405" s="48">
        <v>3.7999999999999999E-2</v>
      </c>
      <c r="I405" s="31" t="s">
        <v>612</v>
      </c>
      <c r="J405" s="16"/>
      <c r="K405" s="18"/>
    </row>
    <row r="406" spans="2:11">
      <c r="B406" s="29" t="s">
        <v>492</v>
      </c>
      <c r="C406" s="30">
        <v>5411692302085</v>
      </c>
      <c r="D406" s="26">
        <v>4219014</v>
      </c>
      <c r="E406" s="27" t="s">
        <v>674</v>
      </c>
      <c r="F406" s="28">
        <v>1183</v>
      </c>
      <c r="G406" s="28">
        <f t="shared" si="8"/>
        <v>1228</v>
      </c>
      <c r="H406" s="48">
        <v>3.7999999999999999E-2</v>
      </c>
      <c r="I406" s="31" t="s">
        <v>672</v>
      </c>
      <c r="J406" s="16"/>
      <c r="K406" s="18"/>
    </row>
    <row r="407" spans="2:11">
      <c r="B407" s="29" t="s">
        <v>492</v>
      </c>
      <c r="C407" s="30">
        <v>5411692302078</v>
      </c>
      <c r="D407" s="26">
        <v>4219015</v>
      </c>
      <c r="E407" s="27" t="s">
        <v>675</v>
      </c>
      <c r="F407" s="28">
        <v>1940</v>
      </c>
      <c r="G407" s="28">
        <f t="shared" si="8"/>
        <v>2014</v>
      </c>
      <c r="H407" s="48">
        <v>3.7999999999999999E-2</v>
      </c>
      <c r="I407" s="31" t="s">
        <v>673</v>
      </c>
      <c r="J407" s="16"/>
      <c r="K407" s="18"/>
    </row>
    <row r="408" spans="2:11">
      <c r="B408" s="29" t="s">
        <v>492</v>
      </c>
      <c r="C408" s="30" t="s">
        <v>494</v>
      </c>
      <c r="D408" s="26">
        <v>3381262</v>
      </c>
      <c r="E408" s="27" t="s">
        <v>495</v>
      </c>
      <c r="F408" s="28">
        <v>2275</v>
      </c>
      <c r="G408" s="28">
        <f t="shared" si="8"/>
        <v>2361</v>
      </c>
      <c r="H408" s="48">
        <v>3.7999999999999999E-2</v>
      </c>
      <c r="I408" s="33"/>
      <c r="J408" s="16"/>
      <c r="K408" s="18"/>
    </row>
    <row r="409" spans="2:11">
      <c r="B409" s="29" t="s">
        <v>492</v>
      </c>
      <c r="C409" s="30" t="s">
        <v>496</v>
      </c>
      <c r="D409" s="26">
        <v>3381263</v>
      </c>
      <c r="E409" s="27" t="s">
        <v>497</v>
      </c>
      <c r="F409" s="28">
        <v>2977</v>
      </c>
      <c r="G409" s="28">
        <f t="shared" si="8"/>
        <v>3090</v>
      </c>
      <c r="H409" s="48">
        <v>3.7999999999999999E-2</v>
      </c>
      <c r="I409" s="33"/>
      <c r="J409" s="16"/>
      <c r="K409" s="18"/>
    </row>
    <row r="410" spans="2:11">
      <c r="B410" s="29" t="s">
        <v>492</v>
      </c>
      <c r="C410" s="30">
        <v>5411692323653</v>
      </c>
      <c r="D410" s="26">
        <v>4213052</v>
      </c>
      <c r="E410" s="27" t="s">
        <v>608</v>
      </c>
      <c r="F410" s="28">
        <v>216</v>
      </c>
      <c r="G410" s="28">
        <f t="shared" si="8"/>
        <v>224</v>
      </c>
      <c r="H410" s="48">
        <v>3.7999999999999999E-2</v>
      </c>
      <c r="I410" s="31" t="s">
        <v>609</v>
      </c>
      <c r="J410" s="16"/>
      <c r="K410" s="18"/>
    </row>
    <row r="411" spans="2:11">
      <c r="B411" s="29" t="s">
        <v>492</v>
      </c>
      <c r="C411" s="30">
        <v>5411692323646</v>
      </c>
      <c r="D411" s="26">
        <v>4213053</v>
      </c>
      <c r="E411" s="27" t="s">
        <v>605</v>
      </c>
      <c r="F411" s="28">
        <v>246</v>
      </c>
      <c r="G411" s="28">
        <f t="shared" si="8"/>
        <v>255</v>
      </c>
      <c r="H411" s="48">
        <v>3.7999999999999999E-2</v>
      </c>
      <c r="I411" s="31" t="s">
        <v>602</v>
      </c>
      <c r="J411" s="16"/>
      <c r="K411" s="18"/>
    </row>
    <row r="412" spans="2:11">
      <c r="B412" s="29" t="s">
        <v>492</v>
      </c>
      <c r="C412" s="30">
        <v>5411692323639</v>
      </c>
      <c r="D412" s="26">
        <v>4213054</v>
      </c>
      <c r="E412" s="27" t="s">
        <v>606</v>
      </c>
      <c r="F412" s="28">
        <v>534</v>
      </c>
      <c r="G412" s="28">
        <f t="shared" si="8"/>
        <v>554</v>
      </c>
      <c r="H412" s="48">
        <v>3.7999999999999999E-2</v>
      </c>
      <c r="I412" s="31" t="s">
        <v>603</v>
      </c>
      <c r="J412" s="16"/>
      <c r="K412" s="18"/>
    </row>
    <row r="413" spans="2:11">
      <c r="B413" s="29" t="s">
        <v>492</v>
      </c>
      <c r="C413" s="30">
        <v>5411692323622</v>
      </c>
      <c r="D413" s="26">
        <v>4213055</v>
      </c>
      <c r="E413" s="27" t="s">
        <v>607</v>
      </c>
      <c r="F413" s="28">
        <v>588</v>
      </c>
      <c r="G413" s="28">
        <f t="shared" si="8"/>
        <v>610</v>
      </c>
      <c r="H413" s="48">
        <v>3.7999999999999999E-2</v>
      </c>
      <c r="I413" s="31" t="s">
        <v>604</v>
      </c>
      <c r="J413" s="16"/>
      <c r="K413" s="18"/>
    </row>
    <row r="414" spans="2:11">
      <c r="B414" s="29" t="s">
        <v>492</v>
      </c>
      <c r="C414" s="30">
        <v>5411692324186</v>
      </c>
      <c r="D414" s="26">
        <v>4213037</v>
      </c>
      <c r="E414" s="27" t="s">
        <v>621</v>
      </c>
      <c r="F414" s="28">
        <v>228</v>
      </c>
      <c r="G414" s="28">
        <f t="shared" si="8"/>
        <v>237</v>
      </c>
      <c r="H414" s="48">
        <v>3.7999999999999999E-2</v>
      </c>
      <c r="I414" s="31" t="s">
        <v>616</v>
      </c>
      <c r="J414" s="16"/>
      <c r="K414" s="18"/>
    </row>
    <row r="415" spans="2:11">
      <c r="B415" s="29" t="s">
        <v>492</v>
      </c>
      <c r="C415" s="30">
        <v>5411692324179</v>
      </c>
      <c r="D415" s="26">
        <v>4213038</v>
      </c>
      <c r="E415" s="27" t="s">
        <v>620</v>
      </c>
      <c r="F415" s="28">
        <v>249</v>
      </c>
      <c r="G415" s="28">
        <f t="shared" si="8"/>
        <v>258</v>
      </c>
      <c r="H415" s="48">
        <v>3.7999999999999999E-2</v>
      </c>
      <c r="I415" s="31" t="s">
        <v>617</v>
      </c>
      <c r="J415" s="16"/>
      <c r="K415" s="18"/>
    </row>
    <row r="416" spans="2:11">
      <c r="B416" s="29" t="s">
        <v>492</v>
      </c>
      <c r="C416" s="30">
        <v>5411692324162</v>
      </c>
      <c r="D416" s="26">
        <v>4213039</v>
      </c>
      <c r="E416" s="27" t="s">
        <v>619</v>
      </c>
      <c r="F416" s="28">
        <v>535</v>
      </c>
      <c r="G416" s="28">
        <f t="shared" si="8"/>
        <v>555</v>
      </c>
      <c r="H416" s="48">
        <v>3.7999999999999999E-2</v>
      </c>
      <c r="I416" s="31" t="s">
        <v>618</v>
      </c>
      <c r="J416" s="16"/>
      <c r="K416" s="18"/>
    </row>
    <row r="417" spans="2:11">
      <c r="B417" s="29" t="s">
        <v>492</v>
      </c>
      <c r="C417" s="30">
        <v>5411692253486</v>
      </c>
      <c r="D417" s="26">
        <v>4225003</v>
      </c>
      <c r="E417" s="27" t="s">
        <v>630</v>
      </c>
      <c r="F417" s="28">
        <v>580</v>
      </c>
      <c r="G417" s="28">
        <f t="shared" si="8"/>
        <v>602</v>
      </c>
      <c r="H417" s="48">
        <v>3.7999999999999999E-2</v>
      </c>
      <c r="I417" s="31" t="s">
        <v>622</v>
      </c>
      <c r="J417" s="16"/>
      <c r="K417" s="18"/>
    </row>
    <row r="418" spans="2:11">
      <c r="B418" s="29" t="s">
        <v>492</v>
      </c>
      <c r="C418" s="30">
        <v>5411692253479</v>
      </c>
      <c r="D418" s="26">
        <v>4225004</v>
      </c>
      <c r="E418" s="27" t="s">
        <v>631</v>
      </c>
      <c r="F418" s="28">
        <v>675</v>
      </c>
      <c r="G418" s="28">
        <f t="shared" si="8"/>
        <v>701</v>
      </c>
      <c r="H418" s="48">
        <v>3.7999999999999999E-2</v>
      </c>
      <c r="I418" s="31" t="s">
        <v>623</v>
      </c>
      <c r="J418" s="16"/>
      <c r="K418" s="18"/>
    </row>
    <row r="419" spans="2:11">
      <c r="B419" s="29" t="s">
        <v>492</v>
      </c>
      <c r="C419" s="30">
        <v>5411692253462</v>
      </c>
      <c r="D419" s="26">
        <v>4225005</v>
      </c>
      <c r="E419" s="27" t="s">
        <v>632</v>
      </c>
      <c r="F419" s="28">
        <v>687</v>
      </c>
      <c r="G419" s="28">
        <f t="shared" si="8"/>
        <v>713</v>
      </c>
      <c r="H419" s="48">
        <v>3.7999999999999999E-2</v>
      </c>
      <c r="I419" s="31" t="s">
        <v>624</v>
      </c>
      <c r="J419" s="16"/>
      <c r="K419" s="18"/>
    </row>
    <row r="420" spans="2:11">
      <c r="B420" s="29" t="s">
        <v>492</v>
      </c>
      <c r="C420" s="30">
        <v>5411692253455</v>
      </c>
      <c r="D420" s="26">
        <v>4225006</v>
      </c>
      <c r="E420" s="27" t="s">
        <v>633</v>
      </c>
      <c r="F420" s="28">
        <v>773</v>
      </c>
      <c r="G420" s="28">
        <f t="shared" si="8"/>
        <v>802</v>
      </c>
      <c r="H420" s="48">
        <v>3.7999999999999999E-2</v>
      </c>
      <c r="I420" s="31" t="s">
        <v>625</v>
      </c>
      <c r="J420" s="16"/>
      <c r="K420" s="18"/>
    </row>
    <row r="421" spans="2:11">
      <c r="B421" s="29" t="s">
        <v>492</v>
      </c>
      <c r="C421" s="30">
        <v>5411692253448</v>
      </c>
      <c r="D421" s="26">
        <v>4225007</v>
      </c>
      <c r="E421" s="27" t="s">
        <v>634</v>
      </c>
      <c r="F421" s="28">
        <v>902</v>
      </c>
      <c r="G421" s="28">
        <f t="shared" si="8"/>
        <v>936</v>
      </c>
      <c r="H421" s="48">
        <v>3.7999999999999999E-2</v>
      </c>
      <c r="I421" s="31" t="s">
        <v>626</v>
      </c>
      <c r="J421" s="16"/>
      <c r="K421" s="18"/>
    </row>
    <row r="422" spans="2:11">
      <c r="B422" s="29" t="s">
        <v>492</v>
      </c>
      <c r="C422" s="30">
        <v>5411692253431</v>
      </c>
      <c r="D422" s="26">
        <v>4225008</v>
      </c>
      <c r="E422" s="27" t="s">
        <v>635</v>
      </c>
      <c r="F422" s="28">
        <v>942</v>
      </c>
      <c r="G422" s="28">
        <f t="shared" si="8"/>
        <v>978</v>
      </c>
      <c r="H422" s="48">
        <v>3.7999999999999999E-2</v>
      </c>
      <c r="I422" s="31" t="s">
        <v>627</v>
      </c>
      <c r="J422" s="16"/>
      <c r="K422" s="18"/>
    </row>
    <row r="423" spans="2:11">
      <c r="B423" s="29" t="s">
        <v>492</v>
      </c>
      <c r="C423" s="30">
        <v>5414849927582</v>
      </c>
      <c r="D423" s="26">
        <v>3381504</v>
      </c>
      <c r="E423" s="27" t="s">
        <v>498</v>
      </c>
      <c r="F423" s="28">
        <v>871</v>
      </c>
      <c r="G423" s="28">
        <f t="shared" si="8"/>
        <v>904</v>
      </c>
      <c r="H423" s="48">
        <v>3.7999999999999999E-2</v>
      </c>
      <c r="I423" s="31"/>
      <c r="J423" s="16"/>
      <c r="K423" s="18"/>
    </row>
    <row r="424" spans="2:11">
      <c r="B424" s="29" t="s">
        <v>492</v>
      </c>
      <c r="C424" s="30" t="s">
        <v>499</v>
      </c>
      <c r="D424" s="26">
        <v>3381505</v>
      </c>
      <c r="E424" s="27" t="s">
        <v>500</v>
      </c>
      <c r="F424" s="28">
        <v>1199</v>
      </c>
      <c r="G424" s="28">
        <f t="shared" si="8"/>
        <v>1245</v>
      </c>
      <c r="H424" s="48">
        <v>3.7999999999999999E-2</v>
      </c>
      <c r="I424" s="31"/>
      <c r="J424" s="16"/>
      <c r="K424" s="18"/>
    </row>
    <row r="425" spans="2:11">
      <c r="B425" s="29" t="s">
        <v>492</v>
      </c>
      <c r="C425" s="30">
        <v>5411692253394</v>
      </c>
      <c r="D425" s="26">
        <v>4225012</v>
      </c>
      <c r="E425" s="27" t="s">
        <v>636</v>
      </c>
      <c r="F425" s="28">
        <v>1488</v>
      </c>
      <c r="G425" s="28">
        <f t="shared" si="8"/>
        <v>1545</v>
      </c>
      <c r="H425" s="48">
        <v>3.7999999999999999E-2</v>
      </c>
      <c r="I425" s="31" t="s">
        <v>628</v>
      </c>
      <c r="J425" s="16"/>
      <c r="K425" s="18"/>
    </row>
    <row r="426" spans="2:11">
      <c r="B426" s="29" t="s">
        <v>492</v>
      </c>
      <c r="C426" s="30">
        <v>5411692253387</v>
      </c>
      <c r="D426" s="26">
        <v>4225013</v>
      </c>
      <c r="E426" s="27" t="s">
        <v>637</v>
      </c>
      <c r="F426" s="28">
        <v>2384</v>
      </c>
      <c r="G426" s="28">
        <f t="shared" si="8"/>
        <v>2475</v>
      </c>
      <c r="H426" s="48">
        <v>3.7999999999999999E-2</v>
      </c>
      <c r="I426" s="31" t="s">
        <v>629</v>
      </c>
      <c r="J426" s="16"/>
      <c r="K426" s="18"/>
    </row>
    <row r="427" spans="2:11">
      <c r="B427" s="29" t="s">
        <v>492</v>
      </c>
      <c r="C427" s="30" t="s">
        <v>501</v>
      </c>
      <c r="D427" s="26">
        <v>3381508</v>
      </c>
      <c r="E427" s="27" t="s">
        <v>502</v>
      </c>
      <c r="F427" s="28">
        <v>2859</v>
      </c>
      <c r="G427" s="28">
        <f t="shared" si="8"/>
        <v>2968</v>
      </c>
      <c r="H427" s="48">
        <v>3.7999999999999999E-2</v>
      </c>
      <c r="I427" s="31"/>
      <c r="J427" s="16"/>
      <c r="K427" s="18"/>
    </row>
    <row r="428" spans="2:11">
      <c r="B428" s="29" t="s">
        <v>492</v>
      </c>
      <c r="C428" s="30">
        <v>5411692257675</v>
      </c>
      <c r="D428" s="26">
        <v>4225018</v>
      </c>
      <c r="E428" s="27" t="s">
        <v>639</v>
      </c>
      <c r="F428" s="28">
        <v>78</v>
      </c>
      <c r="G428" s="28">
        <f t="shared" si="8"/>
        <v>78</v>
      </c>
      <c r="H428" s="48">
        <v>0</v>
      </c>
      <c r="I428" s="31" t="s">
        <v>638</v>
      </c>
      <c r="J428" s="16"/>
      <c r="K428" s="18"/>
    </row>
    <row r="429" spans="2:11">
      <c r="B429" s="29" t="s">
        <v>492</v>
      </c>
      <c r="C429" s="30" t="s">
        <v>503</v>
      </c>
      <c r="D429" s="26">
        <v>3381522</v>
      </c>
      <c r="E429" s="27" t="s">
        <v>504</v>
      </c>
      <c r="F429" s="28">
        <v>21</v>
      </c>
      <c r="G429" s="28">
        <f t="shared" si="8"/>
        <v>21</v>
      </c>
      <c r="H429" s="48">
        <v>0</v>
      </c>
      <c r="I429" s="33"/>
      <c r="J429" s="16"/>
      <c r="K429" s="18"/>
    </row>
    <row r="430" spans="2:11">
      <c r="B430" s="29" t="s">
        <v>492</v>
      </c>
      <c r="C430" s="30">
        <v>5414849921085</v>
      </c>
      <c r="D430" s="26">
        <v>3381359</v>
      </c>
      <c r="E430" s="27" t="s">
        <v>505</v>
      </c>
      <c r="F430" s="28">
        <v>21</v>
      </c>
      <c r="G430" s="28">
        <f t="shared" si="8"/>
        <v>21</v>
      </c>
      <c r="H430" s="48">
        <v>0</v>
      </c>
      <c r="I430" s="33"/>
      <c r="J430" s="16"/>
      <c r="K430" s="18"/>
    </row>
    <row r="431" spans="2:11">
      <c r="B431" s="29" t="s">
        <v>506</v>
      </c>
      <c r="C431" s="30">
        <v>5411692197575</v>
      </c>
      <c r="D431" s="26">
        <v>3022498</v>
      </c>
      <c r="E431" s="27" t="s">
        <v>507</v>
      </c>
      <c r="F431" s="39">
        <v>1415</v>
      </c>
      <c r="G431" s="28">
        <f t="shared" si="8"/>
        <v>1469</v>
      </c>
      <c r="H431" s="48">
        <v>3.7999999999999999E-2</v>
      </c>
      <c r="I431" s="36"/>
      <c r="J431" s="16"/>
      <c r="K431" s="18"/>
    </row>
    <row r="432" spans="2:11">
      <c r="B432" s="29" t="s">
        <v>506</v>
      </c>
      <c r="C432" s="30">
        <v>5414849954861</v>
      </c>
      <c r="D432" s="26">
        <v>3022501</v>
      </c>
      <c r="E432" s="27" t="s">
        <v>508</v>
      </c>
      <c r="F432" s="39">
        <v>1415</v>
      </c>
      <c r="G432" s="28">
        <f t="shared" si="8"/>
        <v>1469</v>
      </c>
      <c r="H432" s="48">
        <v>3.7999999999999999E-2</v>
      </c>
      <c r="I432" s="36"/>
      <c r="J432" s="16"/>
      <c r="K432" s="18"/>
    </row>
    <row r="433" spans="2:11">
      <c r="B433" s="29" t="s">
        <v>506</v>
      </c>
      <c r="C433" s="30">
        <v>5411692092474</v>
      </c>
      <c r="D433" s="26">
        <v>3022499</v>
      </c>
      <c r="E433" s="27" t="s">
        <v>509</v>
      </c>
      <c r="F433" s="39">
        <v>1552</v>
      </c>
      <c r="G433" s="28">
        <f t="shared" si="8"/>
        <v>1611</v>
      </c>
      <c r="H433" s="48">
        <v>3.7999999999999999E-2</v>
      </c>
      <c r="I433" s="36"/>
      <c r="J433" s="16"/>
      <c r="K433" s="18"/>
    </row>
    <row r="434" spans="2:11">
      <c r="B434" s="29" t="s">
        <v>506</v>
      </c>
      <c r="C434" s="30">
        <v>5414849955370</v>
      </c>
      <c r="D434" s="26">
        <v>3022502</v>
      </c>
      <c r="E434" s="27" t="s">
        <v>510</v>
      </c>
      <c r="F434" s="39">
        <v>1552</v>
      </c>
      <c r="G434" s="28">
        <f t="shared" si="8"/>
        <v>1611</v>
      </c>
      <c r="H434" s="48">
        <v>3.7999999999999999E-2</v>
      </c>
      <c r="I434" s="36"/>
      <c r="J434" s="16"/>
      <c r="K434" s="18"/>
    </row>
    <row r="435" spans="2:11">
      <c r="B435" s="29" t="s">
        <v>506</v>
      </c>
      <c r="C435" s="30">
        <v>5411692092511</v>
      </c>
      <c r="D435" s="26">
        <v>3022500</v>
      </c>
      <c r="E435" s="27" t="s">
        <v>511</v>
      </c>
      <c r="F435" s="39">
        <v>2369</v>
      </c>
      <c r="G435" s="28">
        <f t="shared" si="8"/>
        <v>2459</v>
      </c>
      <c r="H435" s="48">
        <v>3.7999999999999999E-2</v>
      </c>
      <c r="I435" s="36"/>
      <c r="J435" s="16"/>
      <c r="K435" s="18"/>
    </row>
    <row r="436" spans="2:11">
      <c r="B436" s="29" t="s">
        <v>506</v>
      </c>
      <c r="C436" s="30">
        <v>5411692197582</v>
      </c>
      <c r="D436" s="26">
        <v>3022503</v>
      </c>
      <c r="E436" s="27" t="s">
        <v>512</v>
      </c>
      <c r="F436" s="39">
        <v>2369</v>
      </c>
      <c r="G436" s="28">
        <f t="shared" si="8"/>
        <v>2459</v>
      </c>
      <c r="H436" s="48">
        <v>3.7999999999999999E-2</v>
      </c>
      <c r="I436" s="36"/>
      <c r="J436" s="16"/>
      <c r="K436" s="18"/>
    </row>
    <row r="437" spans="2:11">
      <c r="B437" s="29" t="s">
        <v>513</v>
      </c>
      <c r="C437" s="30">
        <v>5414849096462</v>
      </c>
      <c r="D437" s="26">
        <v>3105073</v>
      </c>
      <c r="E437" s="27" t="s">
        <v>514</v>
      </c>
      <c r="F437" s="28">
        <v>86</v>
      </c>
      <c r="G437" s="28">
        <f t="shared" si="8"/>
        <v>86</v>
      </c>
      <c r="H437" s="48">
        <v>0</v>
      </c>
      <c r="I437" s="33"/>
      <c r="J437" s="16"/>
      <c r="K437" s="18"/>
    </row>
    <row r="438" spans="2:11">
      <c r="B438" s="29" t="s">
        <v>513</v>
      </c>
      <c r="C438" s="30">
        <v>5414849095847</v>
      </c>
      <c r="D438" s="26">
        <v>3105071</v>
      </c>
      <c r="E438" s="27" t="s">
        <v>676</v>
      </c>
      <c r="F438" s="28">
        <v>99</v>
      </c>
      <c r="G438" s="28">
        <f t="shared" si="8"/>
        <v>99</v>
      </c>
      <c r="H438" s="48">
        <v>0</v>
      </c>
      <c r="I438" s="33"/>
      <c r="J438" s="16"/>
      <c r="K438" s="18"/>
    </row>
    <row r="439" spans="2:11">
      <c r="B439" s="29" t="s">
        <v>515</v>
      </c>
      <c r="C439" s="43">
        <v>5414849557321</v>
      </c>
      <c r="D439" s="44">
        <v>3020057</v>
      </c>
      <c r="E439" s="41" t="s">
        <v>516</v>
      </c>
      <c r="F439" s="42">
        <v>881</v>
      </c>
      <c r="G439" s="28">
        <f t="shared" si="8"/>
        <v>914</v>
      </c>
      <c r="H439" s="48">
        <v>3.7999999999999999E-2</v>
      </c>
      <c r="I439" s="33"/>
      <c r="J439" s="16"/>
      <c r="K439" s="18"/>
    </row>
    <row r="440" spans="2:11">
      <c r="B440" s="29" t="s">
        <v>515</v>
      </c>
      <c r="C440" s="43">
        <v>5414849557338</v>
      </c>
      <c r="D440" s="44">
        <v>3020058</v>
      </c>
      <c r="E440" s="41" t="s">
        <v>517</v>
      </c>
      <c r="F440" s="42">
        <v>860</v>
      </c>
      <c r="G440" s="28">
        <f t="shared" si="8"/>
        <v>893</v>
      </c>
      <c r="H440" s="48">
        <v>3.7999999999999999E-2</v>
      </c>
      <c r="I440" s="33"/>
      <c r="J440" s="16"/>
      <c r="K440" s="18"/>
    </row>
    <row r="441" spans="2:11">
      <c r="B441" s="29" t="s">
        <v>518</v>
      </c>
      <c r="C441" s="43">
        <v>5414849140400</v>
      </c>
      <c r="D441" s="44">
        <v>3024093</v>
      </c>
      <c r="E441" s="41" t="s">
        <v>519</v>
      </c>
      <c r="F441" s="42">
        <v>94</v>
      </c>
      <c r="G441" s="28">
        <f t="shared" si="8"/>
        <v>94</v>
      </c>
      <c r="H441" s="50">
        <v>0</v>
      </c>
      <c r="I441" s="33"/>
      <c r="J441" s="16"/>
      <c r="K441" s="18"/>
    </row>
    <row r="442" spans="2:11">
      <c r="B442" s="29" t="s">
        <v>518</v>
      </c>
      <c r="C442" s="43">
        <v>5414849140417</v>
      </c>
      <c r="D442" s="44">
        <v>3024094</v>
      </c>
      <c r="E442" s="41" t="s">
        <v>520</v>
      </c>
      <c r="F442" s="42">
        <v>59</v>
      </c>
      <c r="G442" s="28">
        <f t="shared" si="8"/>
        <v>59</v>
      </c>
      <c r="H442" s="50">
        <v>0</v>
      </c>
      <c r="I442" s="33"/>
      <c r="J442" s="16"/>
      <c r="K442" s="18"/>
    </row>
    <row r="443" spans="2:11">
      <c r="B443" s="29" t="s">
        <v>518</v>
      </c>
      <c r="C443" s="43">
        <v>5414849153486</v>
      </c>
      <c r="D443" s="44">
        <v>3024106</v>
      </c>
      <c r="E443" s="41" t="s">
        <v>521</v>
      </c>
      <c r="F443" s="42">
        <v>116</v>
      </c>
      <c r="G443" s="28">
        <f t="shared" si="8"/>
        <v>116</v>
      </c>
      <c r="H443" s="50">
        <v>0</v>
      </c>
      <c r="I443" s="33"/>
      <c r="J443" s="16"/>
      <c r="K443" s="18"/>
    </row>
    <row r="444" spans="2:11">
      <c r="B444" s="29" t="s">
        <v>518</v>
      </c>
      <c r="C444" s="43">
        <v>5414849153479</v>
      </c>
      <c r="D444" s="44">
        <v>3024105</v>
      </c>
      <c r="E444" s="41" t="s">
        <v>522</v>
      </c>
      <c r="F444" s="42">
        <v>58</v>
      </c>
      <c r="G444" s="28">
        <f t="shared" si="8"/>
        <v>58</v>
      </c>
      <c r="H444" s="50">
        <v>0</v>
      </c>
      <c r="I444" s="33"/>
      <c r="J444" s="16"/>
      <c r="K444" s="18"/>
    </row>
    <row r="445" spans="2:11">
      <c r="B445" s="29" t="s">
        <v>518</v>
      </c>
      <c r="C445" s="43">
        <v>5414849153462</v>
      </c>
      <c r="D445" s="44">
        <v>3024104</v>
      </c>
      <c r="E445" s="41" t="s">
        <v>523</v>
      </c>
      <c r="F445" s="42">
        <v>62</v>
      </c>
      <c r="G445" s="28">
        <f t="shared" si="8"/>
        <v>62</v>
      </c>
      <c r="H445" s="50">
        <v>0</v>
      </c>
      <c r="I445" s="33"/>
      <c r="J445" s="16"/>
      <c r="K445" s="18"/>
    </row>
    <row r="446" spans="2:11">
      <c r="B446" s="29" t="s">
        <v>518</v>
      </c>
      <c r="C446" s="43">
        <v>5414849153455</v>
      </c>
      <c r="D446" s="44">
        <v>3024103</v>
      </c>
      <c r="E446" s="41" t="s">
        <v>524</v>
      </c>
      <c r="F446" s="42">
        <v>66</v>
      </c>
      <c r="G446" s="28">
        <f t="shared" si="8"/>
        <v>66</v>
      </c>
      <c r="H446" s="50">
        <v>0</v>
      </c>
      <c r="I446" s="33"/>
      <c r="J446" s="16"/>
      <c r="K446" s="18"/>
    </row>
    <row r="447" spans="2:11">
      <c r="B447" s="29" t="s">
        <v>515</v>
      </c>
      <c r="C447" s="43">
        <v>5414849562677</v>
      </c>
      <c r="D447" s="44">
        <v>3020072</v>
      </c>
      <c r="E447" s="41" t="s">
        <v>525</v>
      </c>
      <c r="F447" s="42">
        <v>607</v>
      </c>
      <c r="G447" s="28">
        <f t="shared" si="8"/>
        <v>630</v>
      </c>
      <c r="H447" s="48">
        <v>3.7999999999999999E-2</v>
      </c>
      <c r="I447" s="33"/>
      <c r="J447" s="16"/>
      <c r="K447" s="18"/>
    </row>
    <row r="448" spans="2:11">
      <c r="B448" s="29" t="s">
        <v>518</v>
      </c>
      <c r="C448" s="43">
        <v>5414849642911</v>
      </c>
      <c r="D448" s="44">
        <v>3024364</v>
      </c>
      <c r="E448" s="41" t="s">
        <v>526</v>
      </c>
      <c r="F448" s="42">
        <v>68</v>
      </c>
      <c r="G448" s="28">
        <f t="shared" si="8"/>
        <v>68</v>
      </c>
      <c r="H448" s="50">
        <v>0</v>
      </c>
      <c r="I448" s="33"/>
      <c r="J448" s="16"/>
      <c r="K448" s="18"/>
    </row>
    <row r="449" spans="2:11">
      <c r="B449" s="29" t="s">
        <v>518</v>
      </c>
      <c r="C449" s="43">
        <v>5414849641365</v>
      </c>
      <c r="D449" s="44">
        <v>3024363</v>
      </c>
      <c r="E449" s="41" t="s">
        <v>527</v>
      </c>
      <c r="F449" s="42">
        <v>23</v>
      </c>
      <c r="G449" s="28">
        <f t="shared" si="8"/>
        <v>23</v>
      </c>
      <c r="H449" s="50">
        <v>0</v>
      </c>
      <c r="I449" s="33"/>
      <c r="J449" s="16"/>
      <c r="K449" s="18"/>
    </row>
    <row r="450" spans="2:11">
      <c r="B450" s="29" t="s">
        <v>518</v>
      </c>
      <c r="C450" s="43">
        <v>5414849501324</v>
      </c>
      <c r="D450" s="44">
        <v>3024249</v>
      </c>
      <c r="E450" s="41" t="s">
        <v>528</v>
      </c>
      <c r="F450" s="42">
        <v>59</v>
      </c>
      <c r="G450" s="28">
        <f t="shared" ref="G450:G484" si="9">ROUND(F450+(F450*H450),0)</f>
        <v>59</v>
      </c>
      <c r="H450" s="50">
        <v>0</v>
      </c>
      <c r="I450" s="33"/>
      <c r="J450" s="16"/>
      <c r="K450" s="18"/>
    </row>
    <row r="451" spans="2:11">
      <c r="B451" s="29" t="s">
        <v>518</v>
      </c>
      <c r="C451" s="43">
        <v>5414849637108</v>
      </c>
      <c r="D451" s="44">
        <v>3024359</v>
      </c>
      <c r="E451" s="41" t="s">
        <v>529</v>
      </c>
      <c r="F451" s="42">
        <v>66</v>
      </c>
      <c r="G451" s="28">
        <f t="shared" si="9"/>
        <v>66</v>
      </c>
      <c r="H451" s="50">
        <v>0</v>
      </c>
      <c r="I451" s="33"/>
      <c r="J451" s="16"/>
      <c r="K451" s="18"/>
    </row>
    <row r="452" spans="2:11">
      <c r="B452" s="29" t="s">
        <v>518</v>
      </c>
      <c r="C452" s="43">
        <v>5414849637115</v>
      </c>
      <c r="D452" s="44">
        <v>3024360</v>
      </c>
      <c r="E452" s="41" t="s">
        <v>530</v>
      </c>
      <c r="F452" s="42">
        <v>102</v>
      </c>
      <c r="G452" s="28">
        <f t="shared" si="9"/>
        <v>102</v>
      </c>
      <c r="H452" s="50">
        <v>0</v>
      </c>
      <c r="I452" s="33"/>
      <c r="J452" s="16"/>
      <c r="K452" s="18"/>
    </row>
    <row r="453" spans="2:11">
      <c r="B453" s="29" t="s">
        <v>518</v>
      </c>
      <c r="C453" s="43">
        <v>5414849637122</v>
      </c>
      <c r="D453" s="44">
        <v>3024361</v>
      </c>
      <c r="E453" s="41" t="s">
        <v>531</v>
      </c>
      <c r="F453" s="42">
        <v>18</v>
      </c>
      <c r="G453" s="28">
        <f t="shared" si="9"/>
        <v>18</v>
      </c>
      <c r="H453" s="50">
        <v>0</v>
      </c>
      <c r="I453" s="33"/>
      <c r="J453" s="16"/>
      <c r="K453" s="18"/>
    </row>
    <row r="454" spans="2:11">
      <c r="B454" s="29" t="s">
        <v>518</v>
      </c>
      <c r="C454" s="43">
        <v>5414849159075</v>
      </c>
      <c r="D454" s="44">
        <v>3024112</v>
      </c>
      <c r="E454" s="41" t="s">
        <v>532</v>
      </c>
      <c r="F454" s="42">
        <v>55</v>
      </c>
      <c r="G454" s="28">
        <f t="shared" si="9"/>
        <v>55</v>
      </c>
      <c r="H454" s="50">
        <v>0</v>
      </c>
      <c r="I454" s="33"/>
      <c r="J454" s="16"/>
      <c r="K454" s="18"/>
    </row>
    <row r="455" spans="2:11">
      <c r="B455" s="29" t="s">
        <v>518</v>
      </c>
      <c r="C455" s="43">
        <v>5414849159099</v>
      </c>
      <c r="D455" s="44">
        <v>3024114</v>
      </c>
      <c r="E455" s="41" t="s">
        <v>533</v>
      </c>
      <c r="F455" s="42">
        <v>60</v>
      </c>
      <c r="G455" s="28">
        <f t="shared" si="9"/>
        <v>60</v>
      </c>
      <c r="H455" s="50">
        <v>0</v>
      </c>
      <c r="I455" s="33"/>
      <c r="J455" s="16"/>
      <c r="K455" s="18"/>
    </row>
    <row r="456" spans="2:11">
      <c r="B456" s="29" t="s">
        <v>518</v>
      </c>
      <c r="C456" s="43">
        <v>5414849159105</v>
      </c>
      <c r="D456" s="44">
        <v>3024115</v>
      </c>
      <c r="E456" s="41" t="s">
        <v>534</v>
      </c>
      <c r="F456" s="42">
        <v>50</v>
      </c>
      <c r="G456" s="28">
        <f t="shared" si="9"/>
        <v>50</v>
      </c>
      <c r="H456" s="50">
        <v>0</v>
      </c>
      <c r="I456" s="33"/>
      <c r="J456" s="16"/>
      <c r="K456" s="18"/>
    </row>
    <row r="457" spans="2:11">
      <c r="B457" s="29" t="s">
        <v>513</v>
      </c>
      <c r="C457" s="30">
        <v>5411692026707</v>
      </c>
      <c r="D457" s="26">
        <v>3024548</v>
      </c>
      <c r="E457" s="27" t="s">
        <v>535</v>
      </c>
      <c r="F457" s="28">
        <v>382</v>
      </c>
      <c r="G457" s="28">
        <f t="shared" si="9"/>
        <v>382</v>
      </c>
      <c r="H457" s="48">
        <v>0</v>
      </c>
      <c r="I457" s="33"/>
      <c r="J457" s="16"/>
      <c r="K457" s="18"/>
    </row>
    <row r="458" spans="2:11">
      <c r="B458" s="29" t="s">
        <v>513</v>
      </c>
      <c r="C458" s="30">
        <v>5414849524828</v>
      </c>
      <c r="D458" s="26">
        <v>3024274</v>
      </c>
      <c r="E458" s="27" t="s">
        <v>536</v>
      </c>
      <c r="F458" s="28">
        <v>25</v>
      </c>
      <c r="G458" s="28">
        <f t="shared" si="9"/>
        <v>25</v>
      </c>
      <c r="H458" s="48">
        <v>0</v>
      </c>
      <c r="I458" s="33"/>
      <c r="J458" s="16"/>
      <c r="K458" s="18"/>
    </row>
    <row r="459" spans="2:11">
      <c r="B459" s="29" t="s">
        <v>513</v>
      </c>
      <c r="C459" s="30">
        <v>5414849515765</v>
      </c>
      <c r="D459" s="26">
        <v>3024273</v>
      </c>
      <c r="E459" s="27" t="s">
        <v>537</v>
      </c>
      <c r="F459" s="28">
        <v>33</v>
      </c>
      <c r="G459" s="28">
        <f t="shared" si="9"/>
        <v>33</v>
      </c>
      <c r="H459" s="48">
        <v>0</v>
      </c>
      <c r="I459" s="33"/>
      <c r="J459" s="16"/>
      <c r="K459" s="18"/>
    </row>
    <row r="460" spans="2:11">
      <c r="B460" s="29" t="s">
        <v>513</v>
      </c>
      <c r="C460" s="30">
        <v>5414849568969</v>
      </c>
      <c r="D460" s="26">
        <v>3318905</v>
      </c>
      <c r="E460" s="27" t="s">
        <v>538</v>
      </c>
      <c r="F460" s="28">
        <v>624</v>
      </c>
      <c r="G460" s="28">
        <f t="shared" si="9"/>
        <v>624</v>
      </c>
      <c r="H460" s="48">
        <v>0</v>
      </c>
      <c r="I460" s="33"/>
      <c r="J460" s="16"/>
      <c r="K460" s="18"/>
    </row>
    <row r="461" spans="2:11">
      <c r="B461" s="29" t="s">
        <v>513</v>
      </c>
      <c r="C461" s="30">
        <v>5414849510616</v>
      </c>
      <c r="D461" s="26">
        <v>3024256</v>
      </c>
      <c r="E461" s="27" t="s">
        <v>539</v>
      </c>
      <c r="F461" s="28">
        <v>748</v>
      </c>
      <c r="G461" s="28">
        <f t="shared" si="9"/>
        <v>748</v>
      </c>
      <c r="H461" s="48">
        <v>0</v>
      </c>
      <c r="I461" s="33"/>
      <c r="J461" s="16"/>
      <c r="K461" s="18"/>
    </row>
    <row r="462" spans="2:11">
      <c r="B462" s="29" t="s">
        <v>513</v>
      </c>
      <c r="C462" s="30">
        <v>5414849510630</v>
      </c>
      <c r="D462" s="26">
        <v>3024258</v>
      </c>
      <c r="E462" s="27" t="s">
        <v>540</v>
      </c>
      <c r="F462" s="28">
        <v>1123</v>
      </c>
      <c r="G462" s="28">
        <f t="shared" si="9"/>
        <v>1123</v>
      </c>
      <c r="H462" s="48">
        <v>0</v>
      </c>
      <c r="I462" s="33"/>
      <c r="J462" s="16"/>
      <c r="K462" s="18"/>
    </row>
    <row r="463" spans="2:11">
      <c r="B463" s="29" t="s">
        <v>513</v>
      </c>
      <c r="C463" s="30">
        <v>5414849523920</v>
      </c>
      <c r="D463" s="26">
        <v>3024318</v>
      </c>
      <c r="E463" s="27" t="s">
        <v>541</v>
      </c>
      <c r="F463" s="28">
        <v>101</v>
      </c>
      <c r="G463" s="28">
        <f t="shared" si="9"/>
        <v>101</v>
      </c>
      <c r="H463" s="48">
        <v>0</v>
      </c>
      <c r="I463" s="33"/>
      <c r="J463" s="16"/>
      <c r="K463" s="18"/>
    </row>
    <row r="464" spans="2:11">
      <c r="B464" s="29" t="s">
        <v>513</v>
      </c>
      <c r="C464" s="30">
        <v>5414849523937</v>
      </c>
      <c r="D464" s="26">
        <v>3024319</v>
      </c>
      <c r="E464" s="27" t="s">
        <v>542</v>
      </c>
      <c r="F464" s="28">
        <v>131</v>
      </c>
      <c r="G464" s="28">
        <f t="shared" si="9"/>
        <v>131</v>
      </c>
      <c r="H464" s="48">
        <v>0</v>
      </c>
      <c r="I464" s="33"/>
      <c r="J464" s="16"/>
      <c r="K464" s="18"/>
    </row>
    <row r="465" spans="2:11">
      <c r="B465" s="29" t="s">
        <v>513</v>
      </c>
      <c r="C465" s="30">
        <v>5414849132092</v>
      </c>
      <c r="D465" s="26">
        <v>877084</v>
      </c>
      <c r="E465" s="27" t="s">
        <v>543</v>
      </c>
      <c r="F465" s="28">
        <v>34.1</v>
      </c>
      <c r="G465" s="28">
        <f t="shared" si="9"/>
        <v>34</v>
      </c>
      <c r="H465" s="48">
        <v>0</v>
      </c>
      <c r="I465" s="33"/>
      <c r="J465" s="16"/>
      <c r="K465" s="18"/>
    </row>
    <row r="466" spans="2:11">
      <c r="B466" s="29" t="s">
        <v>513</v>
      </c>
      <c r="C466" s="30">
        <v>5414849132108</v>
      </c>
      <c r="D466" s="26">
        <v>877085</v>
      </c>
      <c r="E466" s="27" t="s">
        <v>544</v>
      </c>
      <c r="F466" s="28">
        <v>30.800000000000004</v>
      </c>
      <c r="G466" s="28">
        <f t="shared" si="9"/>
        <v>31</v>
      </c>
      <c r="H466" s="48">
        <v>0</v>
      </c>
      <c r="I466" s="33"/>
      <c r="J466" s="16"/>
      <c r="K466" s="18"/>
    </row>
    <row r="467" spans="2:11">
      <c r="B467" s="29" t="s">
        <v>513</v>
      </c>
      <c r="C467" s="30">
        <v>5411692309749</v>
      </c>
      <c r="D467" s="26">
        <v>885516</v>
      </c>
      <c r="E467" s="27" t="s">
        <v>545</v>
      </c>
      <c r="F467" s="40">
        <v>213.84</v>
      </c>
      <c r="G467" s="28">
        <f t="shared" si="9"/>
        <v>214</v>
      </c>
      <c r="H467" s="48">
        <v>0</v>
      </c>
      <c r="I467" s="33"/>
      <c r="J467" s="16"/>
      <c r="K467" s="18"/>
    </row>
    <row r="468" spans="2:11">
      <c r="B468" s="29" t="s">
        <v>513</v>
      </c>
      <c r="C468" s="30">
        <v>5414849132115</v>
      </c>
      <c r="D468" s="26">
        <v>877086</v>
      </c>
      <c r="E468" s="27" t="s">
        <v>546</v>
      </c>
      <c r="F468" s="28">
        <v>6</v>
      </c>
      <c r="G468" s="28">
        <f t="shared" si="9"/>
        <v>6</v>
      </c>
      <c r="H468" s="48">
        <v>0</v>
      </c>
      <c r="I468" s="33"/>
      <c r="J468" s="16"/>
      <c r="K468" s="18"/>
    </row>
    <row r="469" spans="2:11">
      <c r="B469" s="29" t="s">
        <v>513</v>
      </c>
      <c r="C469" s="30">
        <v>5414849025721</v>
      </c>
      <c r="D469" s="26">
        <v>800215</v>
      </c>
      <c r="E469" s="27" t="s">
        <v>547</v>
      </c>
      <c r="F469" s="40">
        <v>47</v>
      </c>
      <c r="G469" s="28">
        <f t="shared" si="9"/>
        <v>47</v>
      </c>
      <c r="H469" s="48">
        <v>0</v>
      </c>
      <c r="I469" s="33"/>
      <c r="J469" s="16"/>
      <c r="K469" s="18"/>
    </row>
    <row r="470" spans="2:11">
      <c r="B470" s="29" t="s">
        <v>548</v>
      </c>
      <c r="C470" s="30">
        <v>5414849568389</v>
      </c>
      <c r="D470" s="26">
        <v>3070511</v>
      </c>
      <c r="E470" s="27" t="s">
        <v>549</v>
      </c>
      <c r="F470" s="40">
        <v>857</v>
      </c>
      <c r="G470" s="28">
        <f t="shared" si="9"/>
        <v>890</v>
      </c>
      <c r="H470" s="48">
        <v>3.7999999999999999E-2</v>
      </c>
      <c r="I470" s="33"/>
      <c r="J470" s="16"/>
      <c r="K470" s="18"/>
    </row>
    <row r="471" spans="2:11">
      <c r="B471" s="29" t="s">
        <v>548</v>
      </c>
      <c r="C471" s="30">
        <v>5414849568396</v>
      </c>
      <c r="D471" s="26">
        <v>3070512</v>
      </c>
      <c r="E471" s="27" t="s">
        <v>550</v>
      </c>
      <c r="F471" s="40">
        <v>931</v>
      </c>
      <c r="G471" s="28">
        <f t="shared" si="9"/>
        <v>966</v>
      </c>
      <c r="H471" s="48">
        <v>3.7999999999999999E-2</v>
      </c>
      <c r="I471" s="33"/>
      <c r="J471" s="16"/>
      <c r="K471" s="18"/>
    </row>
    <row r="472" spans="2:11">
      <c r="B472" s="29" t="s">
        <v>548</v>
      </c>
      <c r="C472" s="30">
        <v>5414849705029</v>
      </c>
      <c r="D472" s="26">
        <v>3070588</v>
      </c>
      <c r="E472" s="27" t="s">
        <v>551</v>
      </c>
      <c r="F472" s="40">
        <v>1173</v>
      </c>
      <c r="G472" s="28">
        <f t="shared" si="9"/>
        <v>1218</v>
      </c>
      <c r="H472" s="48">
        <v>3.7999999999999999E-2</v>
      </c>
      <c r="I472" s="33"/>
      <c r="J472" s="16"/>
      <c r="K472" s="18"/>
    </row>
    <row r="473" spans="2:11">
      <c r="B473" s="29" t="s">
        <v>548</v>
      </c>
      <c r="C473" s="30">
        <v>5414849718579</v>
      </c>
      <c r="D473" s="26">
        <v>3070589</v>
      </c>
      <c r="E473" s="27" t="s">
        <v>552</v>
      </c>
      <c r="F473" s="40">
        <v>1434</v>
      </c>
      <c r="G473" s="28">
        <f t="shared" si="9"/>
        <v>1488</v>
      </c>
      <c r="H473" s="48">
        <v>3.7999999999999999E-2</v>
      </c>
      <c r="I473" s="33"/>
      <c r="J473" s="16"/>
      <c r="K473" s="18"/>
    </row>
    <row r="474" spans="2:11">
      <c r="B474" s="29" t="s">
        <v>548</v>
      </c>
      <c r="C474" s="30">
        <v>5414849560024</v>
      </c>
      <c r="D474" s="26">
        <v>3070490</v>
      </c>
      <c r="E474" s="27" t="s">
        <v>553</v>
      </c>
      <c r="F474" s="40">
        <v>922</v>
      </c>
      <c r="G474" s="28">
        <f t="shared" si="9"/>
        <v>957</v>
      </c>
      <c r="H474" s="48">
        <v>3.7999999999999999E-2</v>
      </c>
      <c r="I474" s="33"/>
      <c r="J474" s="16"/>
      <c r="K474" s="18"/>
    </row>
    <row r="475" spans="2:11">
      <c r="B475" s="29" t="s">
        <v>548</v>
      </c>
      <c r="C475" s="30">
        <v>5414849560031</v>
      </c>
      <c r="D475" s="26">
        <v>3070491</v>
      </c>
      <c r="E475" s="27" t="s">
        <v>554</v>
      </c>
      <c r="F475" s="40">
        <v>1010</v>
      </c>
      <c r="G475" s="28">
        <f t="shared" si="9"/>
        <v>1048</v>
      </c>
      <c r="H475" s="48">
        <v>3.7999999999999999E-2</v>
      </c>
      <c r="I475" s="33"/>
      <c r="J475" s="16"/>
      <c r="K475" s="18"/>
    </row>
    <row r="476" spans="2:11">
      <c r="B476" s="29" t="s">
        <v>548</v>
      </c>
      <c r="C476" s="30">
        <v>5414849560048</v>
      </c>
      <c r="D476" s="26">
        <v>3070492</v>
      </c>
      <c r="E476" s="27" t="s">
        <v>555</v>
      </c>
      <c r="F476" s="40">
        <v>1095</v>
      </c>
      <c r="G476" s="28">
        <f t="shared" si="9"/>
        <v>1137</v>
      </c>
      <c r="H476" s="48">
        <v>3.7999999999999999E-2</v>
      </c>
      <c r="I476" s="33"/>
      <c r="J476" s="16"/>
      <c r="K476" s="18"/>
    </row>
    <row r="477" spans="2:11">
      <c r="B477" s="29" t="s">
        <v>548</v>
      </c>
      <c r="C477" s="30" t="s">
        <v>458</v>
      </c>
      <c r="D477" s="26">
        <v>3060704</v>
      </c>
      <c r="E477" s="27" t="s">
        <v>459</v>
      </c>
      <c r="F477" s="22">
        <v>1625</v>
      </c>
      <c r="G477" s="28">
        <f t="shared" si="9"/>
        <v>1687</v>
      </c>
      <c r="H477" s="48">
        <v>3.7999999999999999E-2</v>
      </c>
      <c r="I477" s="33"/>
      <c r="J477" s="16"/>
      <c r="K477" s="18"/>
    </row>
    <row r="478" spans="2:11">
      <c r="B478" s="29" t="s">
        <v>548</v>
      </c>
      <c r="C478" s="30" t="s">
        <v>460</v>
      </c>
      <c r="D478" s="26">
        <v>3060705</v>
      </c>
      <c r="E478" s="27" t="s">
        <v>461</v>
      </c>
      <c r="F478" s="22">
        <v>2136</v>
      </c>
      <c r="G478" s="28">
        <f t="shared" si="9"/>
        <v>2217</v>
      </c>
      <c r="H478" s="48">
        <v>3.7999999999999999E-2</v>
      </c>
      <c r="I478" s="33"/>
      <c r="J478" s="16"/>
      <c r="K478" s="18"/>
    </row>
    <row r="479" spans="2:11">
      <c r="B479" s="29" t="s">
        <v>548</v>
      </c>
      <c r="C479" s="30" t="s">
        <v>462</v>
      </c>
      <c r="D479" s="26">
        <v>3060706</v>
      </c>
      <c r="E479" s="27" t="s">
        <v>463</v>
      </c>
      <c r="F479" s="22">
        <v>2821</v>
      </c>
      <c r="G479" s="28">
        <f t="shared" si="9"/>
        <v>2928</v>
      </c>
      <c r="H479" s="48">
        <v>3.7999999999999999E-2</v>
      </c>
      <c r="I479" s="33"/>
      <c r="J479" s="16"/>
      <c r="K479" s="18"/>
    </row>
    <row r="480" spans="2:11">
      <c r="B480" s="29" t="s">
        <v>548</v>
      </c>
      <c r="C480" s="30">
        <v>5411692033958</v>
      </c>
      <c r="D480" s="26">
        <v>3060869</v>
      </c>
      <c r="E480" s="27" t="s">
        <v>556</v>
      </c>
      <c r="F480" s="22">
        <v>3818</v>
      </c>
      <c r="G480" s="28">
        <f t="shared" si="9"/>
        <v>3963</v>
      </c>
      <c r="H480" s="48">
        <v>3.7999999999999999E-2</v>
      </c>
      <c r="I480" s="33"/>
      <c r="J480" s="16"/>
      <c r="K480" s="18"/>
    </row>
    <row r="481" spans="2:11">
      <c r="B481" s="29" t="s">
        <v>548</v>
      </c>
      <c r="C481" s="30">
        <v>5411692033965</v>
      </c>
      <c r="D481" s="26">
        <v>3060870</v>
      </c>
      <c r="E481" s="27" t="s">
        <v>557</v>
      </c>
      <c r="F481" s="22">
        <v>4680</v>
      </c>
      <c r="G481" s="28">
        <f t="shared" si="9"/>
        <v>4858</v>
      </c>
      <c r="H481" s="48">
        <v>3.7999999999999999E-2</v>
      </c>
      <c r="I481" s="33"/>
      <c r="J481" s="16"/>
      <c r="K481" s="18"/>
    </row>
    <row r="482" spans="2:11">
      <c r="B482" s="29" t="s">
        <v>548</v>
      </c>
      <c r="C482" s="30">
        <v>5411692033972</v>
      </c>
      <c r="D482" s="26">
        <v>3060871</v>
      </c>
      <c r="E482" s="27" t="s">
        <v>558</v>
      </c>
      <c r="F482" s="22">
        <v>6344</v>
      </c>
      <c r="G482" s="28">
        <f t="shared" si="9"/>
        <v>6585</v>
      </c>
      <c r="H482" s="48">
        <v>3.7999999999999999E-2</v>
      </c>
      <c r="I482" s="33"/>
      <c r="J482" s="16"/>
      <c r="K482" s="18"/>
    </row>
    <row r="483" spans="2:11">
      <c r="B483" s="29" t="s">
        <v>548</v>
      </c>
      <c r="C483" s="30">
        <v>5411692033989</v>
      </c>
      <c r="D483" s="26">
        <v>3060872</v>
      </c>
      <c r="E483" s="27" t="s">
        <v>559</v>
      </c>
      <c r="F483" s="22">
        <v>10148</v>
      </c>
      <c r="G483" s="28">
        <f t="shared" si="9"/>
        <v>10534</v>
      </c>
      <c r="H483" s="48">
        <v>3.7999999999999999E-2</v>
      </c>
      <c r="I483" s="33"/>
      <c r="J483" s="16"/>
      <c r="K483" s="18"/>
    </row>
    <row r="484" spans="2:11">
      <c r="B484" s="29" t="s">
        <v>548</v>
      </c>
      <c r="C484" s="30">
        <v>5414849710399</v>
      </c>
      <c r="D484" s="26">
        <v>3060707</v>
      </c>
      <c r="E484" s="27" t="s">
        <v>560</v>
      </c>
      <c r="F484" s="22">
        <v>2150</v>
      </c>
      <c r="G484" s="28">
        <f t="shared" si="9"/>
        <v>2232</v>
      </c>
      <c r="H484" s="48">
        <v>3.7999999999999999E-2</v>
      </c>
      <c r="I484" s="33" t="s">
        <v>593</v>
      </c>
      <c r="J484" s="16"/>
      <c r="K484" s="18"/>
    </row>
    <row r="485" spans="2:11">
      <c r="B485" s="29" t="s">
        <v>548</v>
      </c>
      <c r="C485" s="30">
        <v>5414849710405</v>
      </c>
      <c r="D485" s="26">
        <v>3060862</v>
      </c>
      <c r="E485" s="27" t="s">
        <v>561</v>
      </c>
      <c r="F485" s="22">
        <v>3150</v>
      </c>
      <c r="G485" s="28">
        <f t="shared" ref="G485:G509" si="10">ROUND(F485+(F485*H485),0)</f>
        <v>3270</v>
      </c>
      <c r="H485" s="48">
        <v>3.7999999999999999E-2</v>
      </c>
      <c r="I485" s="33" t="s">
        <v>593</v>
      </c>
      <c r="J485" s="16"/>
      <c r="K485" s="18"/>
    </row>
    <row r="486" spans="2:11">
      <c r="B486" s="29" t="s">
        <v>548</v>
      </c>
      <c r="C486" s="30">
        <v>5411692033996</v>
      </c>
      <c r="D486" s="26">
        <v>3060873</v>
      </c>
      <c r="E486" s="27" t="s">
        <v>562</v>
      </c>
      <c r="F486" s="40">
        <v>4292</v>
      </c>
      <c r="G486" s="28">
        <f t="shared" si="10"/>
        <v>4455</v>
      </c>
      <c r="H486" s="48">
        <v>3.7999999999999999E-2</v>
      </c>
      <c r="I486" s="33" t="s">
        <v>593</v>
      </c>
      <c r="J486" s="16"/>
      <c r="K486" s="18"/>
    </row>
    <row r="487" spans="2:11">
      <c r="B487" s="29" t="s">
        <v>548</v>
      </c>
      <c r="C487" s="30">
        <v>5411692034009</v>
      </c>
      <c r="D487" s="26">
        <v>3060874</v>
      </c>
      <c r="E487" s="27" t="s">
        <v>563</v>
      </c>
      <c r="F487" s="40">
        <v>5621</v>
      </c>
      <c r="G487" s="28">
        <f t="shared" si="10"/>
        <v>5835</v>
      </c>
      <c r="H487" s="48">
        <v>3.7999999999999999E-2</v>
      </c>
      <c r="I487" s="33" t="s">
        <v>593</v>
      </c>
      <c r="J487" s="16"/>
      <c r="K487" s="18"/>
    </row>
    <row r="488" spans="2:11">
      <c r="B488" s="29" t="s">
        <v>548</v>
      </c>
      <c r="C488" s="30">
        <v>5411692034016</v>
      </c>
      <c r="D488" s="26">
        <v>3060875</v>
      </c>
      <c r="E488" s="27" t="s">
        <v>564</v>
      </c>
      <c r="F488" s="40">
        <v>7211</v>
      </c>
      <c r="G488" s="28">
        <f t="shared" si="10"/>
        <v>7485</v>
      </c>
      <c r="H488" s="48">
        <v>3.7999999999999999E-2</v>
      </c>
      <c r="I488" s="33" t="s">
        <v>593</v>
      </c>
      <c r="J488" s="16"/>
      <c r="K488" s="18"/>
    </row>
    <row r="489" spans="2:11">
      <c r="B489" s="29" t="s">
        <v>548</v>
      </c>
      <c r="C489" s="30">
        <v>5411692033934</v>
      </c>
      <c r="D489" s="26">
        <v>3060876</v>
      </c>
      <c r="E489" s="27" t="s">
        <v>565</v>
      </c>
      <c r="F489" s="40">
        <v>11678</v>
      </c>
      <c r="G489" s="28">
        <f t="shared" si="10"/>
        <v>12122</v>
      </c>
      <c r="H489" s="48">
        <v>3.7999999999999999E-2</v>
      </c>
      <c r="I489" s="33" t="s">
        <v>593</v>
      </c>
      <c r="J489" s="16"/>
      <c r="K489" s="18"/>
    </row>
    <row r="490" spans="2:11">
      <c r="B490" s="29" t="s">
        <v>566</v>
      </c>
      <c r="C490" s="30">
        <v>3234090806144</v>
      </c>
      <c r="D490" s="26">
        <v>3078069</v>
      </c>
      <c r="E490" s="27" t="s">
        <v>567</v>
      </c>
      <c r="F490" s="40">
        <v>101</v>
      </c>
      <c r="G490" s="28">
        <f t="shared" si="10"/>
        <v>101</v>
      </c>
      <c r="H490" s="48">
        <v>0</v>
      </c>
      <c r="I490" s="33"/>
      <c r="J490" s="16"/>
      <c r="K490" s="18"/>
    </row>
    <row r="491" spans="2:11">
      <c r="B491" s="29" t="s">
        <v>566</v>
      </c>
      <c r="C491" s="30">
        <v>3234090806151</v>
      </c>
      <c r="D491" s="26">
        <v>3078070</v>
      </c>
      <c r="E491" s="27" t="s">
        <v>568</v>
      </c>
      <c r="F491" s="40">
        <v>105</v>
      </c>
      <c r="G491" s="28">
        <f t="shared" si="10"/>
        <v>105</v>
      </c>
      <c r="H491" s="48">
        <v>0</v>
      </c>
      <c r="I491" s="33"/>
      <c r="J491" s="16"/>
      <c r="K491" s="18"/>
    </row>
    <row r="492" spans="2:11">
      <c r="B492" s="29" t="s">
        <v>566</v>
      </c>
      <c r="C492" s="30">
        <v>3234090806168</v>
      </c>
      <c r="D492" s="26">
        <v>3078071</v>
      </c>
      <c r="E492" s="27" t="s">
        <v>569</v>
      </c>
      <c r="F492" s="40">
        <v>112</v>
      </c>
      <c r="G492" s="28">
        <f t="shared" si="10"/>
        <v>112</v>
      </c>
      <c r="H492" s="48">
        <v>0</v>
      </c>
      <c r="I492" s="33"/>
      <c r="J492" s="16"/>
      <c r="K492" s="18"/>
    </row>
    <row r="493" spans="2:11" s="19" customFormat="1">
      <c r="B493" s="29" t="s">
        <v>566</v>
      </c>
      <c r="C493" s="30">
        <v>3234090869408</v>
      </c>
      <c r="D493" s="26">
        <v>3078227</v>
      </c>
      <c r="E493" s="27" t="s">
        <v>570</v>
      </c>
      <c r="F493" s="40">
        <v>119</v>
      </c>
      <c r="G493" s="28">
        <f t="shared" si="10"/>
        <v>119</v>
      </c>
      <c r="H493" s="48">
        <v>0</v>
      </c>
      <c r="I493" s="33"/>
      <c r="J493" s="16"/>
      <c r="K493" s="18"/>
    </row>
    <row r="494" spans="2:11" s="19" customFormat="1">
      <c r="B494" s="29" t="s">
        <v>566</v>
      </c>
      <c r="C494" s="30">
        <v>3234090869415</v>
      </c>
      <c r="D494" s="26">
        <v>3078228</v>
      </c>
      <c r="E494" s="27" t="s">
        <v>571</v>
      </c>
      <c r="F494" s="40">
        <v>119</v>
      </c>
      <c r="G494" s="28">
        <f t="shared" si="10"/>
        <v>119</v>
      </c>
      <c r="H494" s="48">
        <v>0</v>
      </c>
      <c r="I494" s="33"/>
      <c r="J494" s="16"/>
      <c r="K494" s="18"/>
    </row>
    <row r="495" spans="2:11" s="19" customFormat="1">
      <c r="B495" s="29" t="s">
        <v>566</v>
      </c>
      <c r="C495" s="30">
        <v>3234090869446</v>
      </c>
      <c r="D495" s="26">
        <v>3078231</v>
      </c>
      <c r="E495" s="27" t="s">
        <v>572</v>
      </c>
      <c r="F495" s="28">
        <v>142</v>
      </c>
      <c r="G495" s="28">
        <f t="shared" si="10"/>
        <v>142</v>
      </c>
      <c r="H495" s="48">
        <v>0</v>
      </c>
      <c r="I495" s="33"/>
      <c r="J495" s="16"/>
      <c r="K495" s="18"/>
    </row>
    <row r="496" spans="2:11" s="19" customFormat="1">
      <c r="B496" s="29" t="s">
        <v>566</v>
      </c>
      <c r="C496" s="30">
        <v>3234090869422</v>
      </c>
      <c r="D496" s="26">
        <v>3078229</v>
      </c>
      <c r="E496" s="27" t="s">
        <v>573</v>
      </c>
      <c r="F496" s="40">
        <v>142</v>
      </c>
      <c r="G496" s="28">
        <f t="shared" si="10"/>
        <v>142</v>
      </c>
      <c r="H496" s="48">
        <v>0</v>
      </c>
      <c r="I496" s="33"/>
      <c r="J496" s="16"/>
      <c r="K496" s="18"/>
    </row>
    <row r="497" spans="2:11" s="19" customFormat="1">
      <c r="B497" s="29" t="s">
        <v>566</v>
      </c>
      <c r="C497" s="30">
        <v>3234090779011</v>
      </c>
      <c r="D497" s="26">
        <v>3078019</v>
      </c>
      <c r="E497" s="27" t="s">
        <v>574</v>
      </c>
      <c r="F497" s="22">
        <v>20</v>
      </c>
      <c r="G497" s="28">
        <f t="shared" si="10"/>
        <v>20</v>
      </c>
      <c r="H497" s="48">
        <v>0</v>
      </c>
      <c r="I497" s="33"/>
      <c r="J497" s="16"/>
      <c r="K497" s="18"/>
    </row>
    <row r="498" spans="2:11" s="19" customFormat="1">
      <c r="B498" s="29" t="s">
        <v>566</v>
      </c>
      <c r="C498" s="30">
        <v>3234090779028</v>
      </c>
      <c r="D498" s="26">
        <v>3078020</v>
      </c>
      <c r="E498" s="27" t="s">
        <v>575</v>
      </c>
      <c r="F498" s="22">
        <v>20</v>
      </c>
      <c r="G498" s="28">
        <f t="shared" si="10"/>
        <v>20</v>
      </c>
      <c r="H498" s="48">
        <v>0</v>
      </c>
      <c r="I498" s="33"/>
      <c r="J498" s="16"/>
      <c r="K498" s="18"/>
    </row>
    <row r="499" spans="2:11" s="19" customFormat="1">
      <c r="B499" s="29" t="s">
        <v>566</v>
      </c>
      <c r="C499" s="30">
        <v>3234090782301</v>
      </c>
      <c r="D499" s="26">
        <v>3078025</v>
      </c>
      <c r="E499" s="27" t="s">
        <v>576</v>
      </c>
      <c r="F499" s="40">
        <v>100</v>
      </c>
      <c r="G499" s="28">
        <f t="shared" si="10"/>
        <v>100</v>
      </c>
      <c r="H499" s="48">
        <v>0</v>
      </c>
      <c r="I499" s="33"/>
      <c r="J499" s="16"/>
      <c r="K499" s="18"/>
    </row>
    <row r="500" spans="2:11" s="19" customFormat="1">
      <c r="B500" s="29" t="s">
        <v>566</v>
      </c>
      <c r="C500" s="30">
        <v>3234090879278</v>
      </c>
      <c r="D500" s="26">
        <v>3078255</v>
      </c>
      <c r="E500" s="27" t="s">
        <v>577</v>
      </c>
      <c r="F500" s="39">
        <v>160</v>
      </c>
      <c r="G500" s="28">
        <f t="shared" si="10"/>
        <v>160</v>
      </c>
      <c r="H500" s="48">
        <v>0</v>
      </c>
      <c r="I500" s="46" t="s">
        <v>594</v>
      </c>
      <c r="J500" s="16"/>
      <c r="K500" s="18"/>
    </row>
    <row r="501" spans="2:11" s="19" customFormat="1">
      <c r="B501" s="29" t="s">
        <v>566</v>
      </c>
      <c r="C501" s="30">
        <v>5411692062842</v>
      </c>
      <c r="D501" s="26">
        <v>3850029</v>
      </c>
      <c r="E501" s="27" t="s">
        <v>578</v>
      </c>
      <c r="F501" s="22">
        <v>8</v>
      </c>
      <c r="G501" s="28">
        <f t="shared" si="10"/>
        <v>8</v>
      </c>
      <c r="H501" s="48">
        <v>0</v>
      </c>
      <c r="I501" s="33"/>
      <c r="J501" s="16"/>
      <c r="K501" s="18"/>
    </row>
    <row r="502" spans="2:11" s="19" customFormat="1">
      <c r="B502" s="29" t="s">
        <v>548</v>
      </c>
      <c r="C502" s="30">
        <v>5411692062583</v>
      </c>
      <c r="D502" s="26">
        <v>3850009</v>
      </c>
      <c r="E502" s="27" t="s">
        <v>579</v>
      </c>
      <c r="F502" s="22">
        <v>904</v>
      </c>
      <c r="G502" s="28">
        <f t="shared" si="10"/>
        <v>938</v>
      </c>
      <c r="H502" s="48">
        <v>3.7999999999999999E-2</v>
      </c>
      <c r="I502" s="33" t="s">
        <v>580</v>
      </c>
      <c r="J502" s="16"/>
      <c r="K502" s="18"/>
    </row>
    <row r="503" spans="2:11" s="19" customFormat="1">
      <c r="B503" s="29" t="s">
        <v>548</v>
      </c>
      <c r="C503" s="30">
        <v>5411692062620</v>
      </c>
      <c r="D503" s="26">
        <v>3850010</v>
      </c>
      <c r="E503" s="27" t="s">
        <v>581</v>
      </c>
      <c r="F503" s="22">
        <v>963</v>
      </c>
      <c r="G503" s="28">
        <f t="shared" si="10"/>
        <v>1000</v>
      </c>
      <c r="H503" s="48">
        <v>3.7999999999999999E-2</v>
      </c>
      <c r="I503" s="33" t="s">
        <v>580</v>
      </c>
      <c r="J503" s="16"/>
      <c r="K503" s="18"/>
    </row>
    <row r="504" spans="2:11" s="19" customFormat="1">
      <c r="B504" s="29" t="s">
        <v>548</v>
      </c>
      <c r="C504" s="30">
        <v>5411692062637</v>
      </c>
      <c r="D504" s="26">
        <v>3850011</v>
      </c>
      <c r="E504" s="27" t="s">
        <v>582</v>
      </c>
      <c r="F504" s="22">
        <v>1310</v>
      </c>
      <c r="G504" s="28">
        <f t="shared" si="10"/>
        <v>1360</v>
      </c>
      <c r="H504" s="48">
        <v>3.7999999999999999E-2</v>
      </c>
      <c r="I504" s="33" t="s">
        <v>580</v>
      </c>
      <c r="J504" s="16"/>
      <c r="K504" s="18"/>
    </row>
    <row r="505" spans="2:11" s="19" customFormat="1">
      <c r="B505" s="29" t="s">
        <v>566</v>
      </c>
      <c r="C505" s="30">
        <v>5411692062897</v>
      </c>
      <c r="D505" s="26">
        <v>3850034</v>
      </c>
      <c r="E505" s="27" t="s">
        <v>583</v>
      </c>
      <c r="F505" s="22">
        <v>26</v>
      </c>
      <c r="G505" s="28">
        <f t="shared" si="10"/>
        <v>26</v>
      </c>
      <c r="H505" s="48">
        <v>0</v>
      </c>
      <c r="I505" s="33"/>
      <c r="J505" s="16"/>
      <c r="K505" s="18"/>
    </row>
    <row r="506" spans="2:11" s="19" customFormat="1">
      <c r="B506" s="29" t="s">
        <v>566</v>
      </c>
      <c r="C506" s="30">
        <v>5411692062774</v>
      </c>
      <c r="D506" s="26">
        <v>3850024</v>
      </c>
      <c r="E506" s="27" t="s">
        <v>584</v>
      </c>
      <c r="F506" s="22">
        <v>123</v>
      </c>
      <c r="G506" s="28">
        <f t="shared" si="10"/>
        <v>123</v>
      </c>
      <c r="H506" s="48">
        <v>0</v>
      </c>
      <c r="I506" s="33"/>
      <c r="J506" s="16"/>
      <c r="K506" s="18"/>
    </row>
    <row r="507" spans="2:11" s="19" customFormat="1">
      <c r="B507" s="29" t="s">
        <v>566</v>
      </c>
      <c r="C507" s="30">
        <v>5411692062811</v>
      </c>
      <c r="D507" s="26">
        <v>3850028</v>
      </c>
      <c r="E507" s="27" t="s">
        <v>585</v>
      </c>
      <c r="F507" s="22">
        <v>3</v>
      </c>
      <c r="G507" s="28">
        <f t="shared" si="10"/>
        <v>3</v>
      </c>
      <c r="H507" s="48">
        <v>0</v>
      </c>
      <c r="I507" s="33"/>
      <c r="J507" s="16"/>
      <c r="K507" s="18"/>
    </row>
    <row r="508" spans="2:11" s="19" customFormat="1">
      <c r="B508" s="29" t="s">
        <v>566</v>
      </c>
      <c r="C508" s="30">
        <v>5411692062781</v>
      </c>
      <c r="D508" s="26">
        <v>3850025</v>
      </c>
      <c r="E508" s="27" t="s">
        <v>586</v>
      </c>
      <c r="F508" s="22">
        <v>157</v>
      </c>
      <c r="G508" s="28">
        <f t="shared" si="10"/>
        <v>157</v>
      </c>
      <c r="H508" s="48">
        <v>0</v>
      </c>
      <c r="I508" s="33"/>
      <c r="J508" s="16"/>
      <c r="K508" s="18"/>
    </row>
    <row r="509" spans="2:11" s="19" customFormat="1">
      <c r="B509" s="29" t="s">
        <v>566</v>
      </c>
      <c r="C509" s="30">
        <v>5411692062873</v>
      </c>
      <c r="D509" s="26">
        <v>3850032</v>
      </c>
      <c r="E509" s="27" t="s">
        <v>587</v>
      </c>
      <c r="F509" s="22">
        <v>1</v>
      </c>
      <c r="G509" s="28">
        <f t="shared" si="10"/>
        <v>1</v>
      </c>
      <c r="H509" s="48">
        <v>0</v>
      </c>
      <c r="I509" s="33"/>
      <c r="J509" s="16"/>
      <c r="K509" s="18"/>
    </row>
  </sheetData>
  <autoFilter ref="A4:L509" xr:uid="{00000000-0001-0000-0000-000000000000}">
    <filterColumn colId="8" showButton="0"/>
  </autoFilter>
  <mergeCells count="1">
    <mergeCell ref="I4:J4"/>
  </mergeCells>
  <pageMargins left="0.7" right="0.7" top="0.75" bottom="0.75" header="0.3" footer="0.3"/>
  <pageSetup paperSize="9" orientation="portrait" r:id="rId1"/>
  <customProperties>
    <customPr name="_pios_id" r:id="rId2"/>
  </customProperties>
  <ignoredErrors>
    <ignoredError sqref="C50 C140:C209 C275:C299 C311 C316:C323 C332:C337 C437 C424 C36:C47 C211:C229 C9:C12 C27:C30 C303 C327 C491:C496 C254:C271 C16 C380:C391 C369:C376 C457:C462 C470:C476 C463:C468 C469 C65:C76 C112 C408:C409 C397:C399 C63 C427 C429:C430 C52:C59 C79:C104 C344:C367 C113:C138" numberStoredAsText="1"/>
  </ignoredError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15D418439275E49A42976EFE86F0756" ma:contentTypeVersion="19" ma:contentTypeDescription="Crear nuevo documento." ma:contentTypeScope="" ma:versionID="255d4749acef1372da2905faf529bb21">
  <xsd:schema xmlns:xsd="http://www.w3.org/2001/XMLSchema" xmlns:xs="http://www.w3.org/2001/XMLSchema" xmlns:p="http://schemas.microsoft.com/office/2006/metadata/properties" xmlns:ns2="a05b73a5-7a10-4c1d-8e1a-b05c1020c644" xmlns:ns3="f5346356-5a98-418e-a5eb-bfe0100d986b" targetNamespace="http://schemas.microsoft.com/office/2006/metadata/properties" ma:root="true" ma:fieldsID="9b1210afbeb2bdd9b3a6d6fca77703c6" ns2:_="" ns3:_="">
    <xsd:import namespace="a05b73a5-7a10-4c1d-8e1a-b05c1020c644"/>
    <xsd:import namespace="f5346356-5a98-418e-a5eb-bfe0100d98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5b73a5-7a10-4c1d-8e1a-b05c1020c6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75188b07-ff92-4307-922c-83f5d105ac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346356-5a98-418e-a5eb-bfe0100d986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683bc0d-35f1-4410-adb1-c33311eb6ea1}" ma:internalName="TaxCatchAll" ma:showField="CatchAllData" ma:web="f5346356-5a98-418e-a5eb-bfe0100d98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346356-5a98-418e-a5eb-bfe0100d986b" xsi:nil="true"/>
    <lcf76f155ced4ddcb4097134ff3c332f xmlns="a05b73a5-7a10-4c1d-8e1a-b05c1020c64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1C49F7-9B96-4C36-8A11-B7B569BAAC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2A056A-3E53-4ACE-8C25-7A95348F3D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5b73a5-7a10-4c1d-8e1a-b05c1020c644"/>
    <ds:schemaRef ds:uri="f5346356-5a98-418e-a5eb-bfe0100d98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7CF7A6-5426-49F8-AE42-FF0767AF4193}">
  <ds:schemaRefs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000269ca-0bf1-4bdd-ab85-d1afa6bd263d"/>
    <ds:schemaRef ds:uri="http://schemas.microsoft.com/office/2006/metadata/properties"/>
    <ds:schemaRef ds:uri="f5346356-5a98-418e-a5eb-bfe0100d986b"/>
    <ds:schemaRef ds:uri="a05b73a5-7a10-4c1d-8e1a-b05c1020c64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Tarifa ARISTON Maio 2026</vt:lpstr>
    </vt:vector>
  </TitlesOfParts>
  <Manager/>
  <Company>Ariston Thermo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 Sayeras</dc:creator>
  <cp:keywords/>
  <dc:description/>
  <cp:lastModifiedBy>Hernandez, Juan Miguel</cp:lastModifiedBy>
  <cp:revision/>
  <dcterms:created xsi:type="dcterms:W3CDTF">2023-01-31T16:52:00Z</dcterms:created>
  <dcterms:modified xsi:type="dcterms:W3CDTF">2026-04-23T15:14:49Z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0x010100B15D418439275E49A42976EFE86F0756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